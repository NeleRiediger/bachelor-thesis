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Model proteins (PDH)" sheetId="1" r:id="rId5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<sst xmlns="http://schemas.openxmlformats.org/spreadsheetml/2006/main" uniqueCount="272">
  <si>
    <t>Id</t>
  </si>
  <si>
    <t>PepSeq1</t>
  </si>
  <si>
    <t>PepSeq2</t>
  </si>
  <si>
    <t>LinkPos1</t>
  </si>
  <si>
    <t>LinkPos2</t>
  </si>
  <si>
    <t>Protein1Annotated</t>
  </si>
  <si>
    <t>ProteinId1</t>
  </si>
  <si>
    <t>Protein2Annotated</t>
  </si>
  <si>
    <t>ProteinId2</t>
  </si>
  <si>
    <t>AbsPos1</t>
  </si>
  <si>
    <t>AbsPos2</t>
  </si>
  <si>
    <t>Mr</t>
  </si>
  <si>
    <t>Mz</t>
  </si>
  <si>
    <t>z</t>
  </si>
  <si>
    <t>Error [ppm]</t>
  </si>
  <si>
    <t>TIC</t>
  </si>
  <si>
    <t>delta score</t>
  </si>
  <si>
    <t>Id-score</t>
  </si>
  <si>
    <t>Distance [Å]</t>
  </si>
  <si>
    <t>Crosslinker</t>
  </si>
  <si>
    <t>NLSVEDAAR-VLNEEQR-a5-b4</t>
  </si>
  <si>
    <t>NLSVEDAAR</t>
  </si>
  <si>
    <t>VLNEEQR</t>
  </si>
  <si>
    <t>sp|P00432|CATA_BOVIN</t>
  </si>
  <si>
    <t>P00432</t>
  </si>
  <si>
    <t>PDH/DMTMM</t>
  </si>
  <si>
    <t>LAHEDPDYGLR-NLSVEDAAR-a4-b6</t>
  </si>
  <si>
    <t>LAHEDPDYGLR</t>
  </si>
  <si>
    <t>LAHEDPDYGLR-NLSVEDAAR-a4-b5</t>
  </si>
  <si>
    <t>255 (256)</t>
  </si>
  <si>
    <t>12.5 (14.0)</t>
  </si>
  <si>
    <t>LAHEDPDYGLR-NLSVEDAAR-a5-b5</t>
  </si>
  <si>
    <t>NFSDVHPEYGSR-VLNEEQR-a8-b4</t>
  </si>
  <si>
    <t>NFSDVHPEYGSR</t>
  </si>
  <si>
    <t>LAHEDPDYGLR-DAQLFIQK-a4-b1</t>
  </si>
  <si>
    <t>DAQLFIQK</t>
  </si>
  <si>
    <t>14.1 (14.1)</t>
  </si>
  <si>
    <t>(inter-subunit in tetramer)</t>
  </si>
  <si>
    <t>LAHEDPDYGLR-DAQLFIQK-a5-b1</t>
  </si>
  <si>
    <t>RLCENIAGHLK-NLSVEDAAR-a4-b6</t>
  </si>
  <si>
    <t>RLCENIAGHLK</t>
  </si>
  <si>
    <t>248 (247)</t>
  </si>
  <si>
    <t>16.1 (12.9)</t>
  </si>
  <si>
    <t>RLCENIAGHLK-NLSVEDAAR-a4-b5</t>
  </si>
  <si>
    <t>LAHEDPDYGLR-YNEEKPK-a5-b3</t>
  </si>
  <si>
    <t>YNEEKPK</t>
  </si>
  <si>
    <t>LAHEDPDYGLR-YNEEKPK-a4-b3</t>
  </si>
  <si>
    <t>501 (502)</t>
  </si>
  <si>
    <r>
      <rPr>
        <b val="1"/>
        <sz val="11"/>
        <color indexed="11"/>
        <rFont val="Calibri"/>
      </rPr>
      <t xml:space="preserve">21.4 </t>
    </r>
    <r>
      <rPr>
        <sz val="11"/>
        <color indexed="8"/>
        <rFont val="Calibri"/>
      </rPr>
      <t>(not in model)</t>
    </r>
  </si>
  <si>
    <t>LAHEDPDYGLR-YNEEKPK-a4-b4</t>
  </si>
  <si>
    <t>LAHEDPDYGLR-YNEEKPK-a5-b4</t>
  </si>
  <si>
    <t>not in model</t>
  </si>
  <si>
    <t>LCENIAGHLK-NLSVEDAAR-a3-b6</t>
  </si>
  <si>
    <t>LCENIAGHLK</t>
  </si>
  <si>
    <t>RLCENIAGHLK-VLNEEQR-a4-b5</t>
  </si>
  <si>
    <t>453 (452)</t>
  </si>
  <si>
    <t>11.0 (12.3)</t>
  </si>
  <si>
    <t>RLCENIAGHLK-VLNEEQR-a4-b4</t>
  </si>
  <si>
    <t>LAHEDPDYGLR-DPASDQMK-a5-b1</t>
  </si>
  <si>
    <t>DPASDQMK</t>
  </si>
  <si>
    <t>LAHEDPDYGLR-LCENIAGHLK-a4-b3</t>
  </si>
  <si>
    <t>17.6 (20.0)</t>
  </si>
  <si>
    <t>LAHEDPDYGLR-LCENIAGHLK-a5-b3</t>
  </si>
  <si>
    <t>IQALLDK-YNEEKPK-a6-b3</t>
  </si>
  <si>
    <t>IQALLDK</t>
  </si>
  <si>
    <r>
      <rPr>
        <b val="1"/>
        <sz val="11"/>
        <color indexed="11"/>
        <rFont val="Calibri"/>
      </rPr>
      <t xml:space="preserve">6.9 </t>
    </r>
    <r>
      <rPr>
        <sz val="11"/>
        <color indexed="8"/>
        <rFont val="Calibri"/>
      </rPr>
      <t>(not in model)</t>
    </r>
  </si>
  <si>
    <t>IQALLDK-YNEEKPK-a6-b4</t>
  </si>
  <si>
    <t>RLCENIAGHLK-YNEEKPK-a4-b4</t>
  </si>
  <si>
    <t>LCENIAGHLK-VLNEEQR-a3-b4</t>
  </si>
  <si>
    <t>LAHEDPDYGLR-RLCENIAGHLK-a5-b4</t>
  </si>
  <si>
    <t>LCENIAGHLK-YNEEKPK-a3-b4</t>
  </si>
  <si>
    <t>LAHEDPDYGLR-YNEEKPK-a7-b4</t>
  </si>
  <si>
    <t>LCENIAGHLK-VLNEEQR-a3-b5</t>
  </si>
  <si>
    <t>LVNANGEAVYCK-THFSGDVQR-a7-b6</t>
  </si>
  <si>
    <t>LVNANGEAVYCK</t>
  </si>
  <si>
    <t>THFSGDVQR</t>
  </si>
  <si>
    <t>LAHEDPDYGLR-DPASDQMK-a4-b1</t>
  </si>
  <si>
    <t>LAHEDPDYGLR-RLCENIAGHLK-a7-b4</t>
  </si>
  <si>
    <t>DGPMCMMDNQGGAPNYYPNSFSAPEHQPSALEHR-AAQKPDVLTTGGGNPVGDK-a8-b6</t>
  </si>
  <si>
    <t>DGPMCMMDNQGGAPNYYPNSFSAPEHQPSALEHR</t>
  </si>
  <si>
    <t>AAQKPDVLTTGGGNPVGDK</t>
  </si>
  <si>
    <t>LCENIAGHLK-VLNEEQRKR-a3-b4</t>
  </si>
  <si>
    <t>VLNEEQRKR</t>
  </si>
  <si>
    <t>LSVEALNSLTGEFK-SEEEYPDLSK-a4-b3</t>
  </si>
  <si>
    <t>LSVEALNSLTGEFK</t>
  </si>
  <si>
    <t>SEEEYPDLSK</t>
  </si>
  <si>
    <t>sp|P00563|KCRM_RABIT</t>
  </si>
  <si>
    <t>P00563</t>
  </si>
  <si>
    <t>(inter-subunit in dimer)</t>
  </si>
  <si>
    <t>PHSHPALTPEQK-ELSDIAHR-a10-b1</t>
  </si>
  <si>
    <t>PHSHPALTPEQK</t>
  </si>
  <si>
    <t>ELSDIAHR</t>
  </si>
  <si>
    <t>sp|P00883|ALDOA_RABIT</t>
  </si>
  <si>
    <t>P00883</t>
  </si>
  <si>
    <t>YICDNQDTISSK-ECCDKPLLEK-a7-b4</t>
  </si>
  <si>
    <t>YICDNQDTISSK</t>
  </si>
  <si>
    <t>ECCDKPLLEK</t>
  </si>
  <si>
    <t>sp|P02769|ALBU_BOVIN</t>
  </si>
  <si>
    <t>P02769</t>
  </si>
  <si>
    <t>AEFVEVTK-LVTDLTK-a5-b4</t>
  </si>
  <si>
    <t>AEFVEVTK</t>
  </si>
  <si>
    <t>LVTDLTK</t>
  </si>
  <si>
    <t>LVTDLTK-SEIAHR-a4-b2</t>
  </si>
  <si>
    <t>SEIAHR</t>
  </si>
  <si>
    <t>SLHTLFGDELCK-LVNELTEFAK-a9-b4</t>
  </si>
  <si>
    <t>SLHTLFGDELCK</t>
  </si>
  <si>
    <t>LVNELTEFAK</t>
  </si>
  <si>
    <t>TVMENFVAFVDK-ATEEQLK-a4-b3</t>
  </si>
  <si>
    <t>TVMENFVAFVDK</t>
  </si>
  <si>
    <t>ATEEQLK</t>
  </si>
  <si>
    <t>YICDNQDTISSK-AEFVEVTK-a7-b2</t>
  </si>
  <si>
    <t>SLHTLFGDELCK-LVNELTEFAK-a9-b7</t>
  </si>
  <si>
    <t>LCVLHEK-TPVSEK-a6-b5</t>
  </si>
  <si>
    <t>LCVLHEK</t>
  </si>
  <si>
    <t>TPVSEK</t>
  </si>
  <si>
    <t>VPQVSTPTLVEVSR-DDSPDLPK-a11-b5</t>
  </si>
  <si>
    <t>VPQVSTPTLVEVSR</t>
  </si>
  <si>
    <t>DDSPDLPK</t>
  </si>
  <si>
    <t>QNCDQFEK-ATEEQLK-a4-b3</t>
  </si>
  <si>
    <t>QNCDQFEK</t>
  </si>
  <si>
    <t>YICDNQDTISSKLK-SHCIAEVEK-a7-b6</t>
  </si>
  <si>
    <t>YICDNQDTISSKLK</t>
  </si>
  <si>
    <t>SHCIAEVEK</t>
  </si>
  <si>
    <t>LKPDPNTLCDEFK-YLYEIAR-a11-b4</t>
  </si>
  <si>
    <t>LKPDPNTLCDEFK</t>
  </si>
  <si>
    <t>YLYEIAR</t>
  </si>
  <si>
    <t>125 (124)</t>
  </si>
  <si>
    <t>14.9 (17.9)</t>
  </si>
  <si>
    <t>LKPDPNTLCDEFK-YLYEIAR-a10-b4</t>
  </si>
  <si>
    <t>ECCDKPLLEK-SHCIAEVEK-a1-b6</t>
  </si>
  <si>
    <t>SLHTLFGDELCK-LVNELTEFAK-a8-b4</t>
  </si>
  <si>
    <t>HLVDEPQNLIK-CCTKPESER-a4-b6</t>
  </si>
  <si>
    <t>HLVDEPQNLIK</t>
  </si>
  <si>
    <t>CCTKPESER</t>
  </si>
  <si>
    <t>YICDNQDTISSKLK-SHCIAEVEK-a7-b8</t>
  </si>
  <si>
    <t>SLHTLFGDELCK-LVNELTEFAK-a8-b7</t>
  </si>
  <si>
    <t>ECCHGDLLECADDR-NECFLSHK-a6-b2</t>
  </si>
  <si>
    <t>ECCHGDLLECADDR</t>
  </si>
  <si>
    <t>NECFLSHK</t>
  </si>
  <si>
    <t>YICDNQDTISSKLKECCDKPLLEK-SHCIAEVEK-a4-b8</t>
  </si>
  <si>
    <t>YICDNQDTISSKLKECCDKPLLEK</t>
  </si>
  <si>
    <t>293 (291)</t>
  </si>
  <si>
    <t>18.1 (18.0)</t>
  </si>
  <si>
    <t>YICDNQDTISSKLKECCDKPLLEK-SHCIAEVEK-a4-b6</t>
  </si>
  <si>
    <t>ECCHGDLLECADDRADLAK-SEIAHR-a9-b2</t>
  </si>
  <si>
    <t>ECCHGDLLECADDRADLAK</t>
  </si>
  <si>
    <t>251 (254)</t>
  </si>
  <si>
    <t>9.5 (12.2)</t>
  </si>
  <si>
    <t>ECCHGDLLECADDRADLAK-SEIAHR-a12-b2</t>
  </si>
  <si>
    <t>YICDNQDTISSK-ECCDKPLLEK-a4-b4</t>
  </si>
  <si>
    <t>NECFLSHK-LCVLHEK-a2-b6</t>
  </si>
  <si>
    <t>LFTFHADICTLPDTEK-KVPQVSTPTLVEVSR-a13-b12</t>
  </si>
  <si>
    <t>LFTFHADICTLPDTEK</t>
  </si>
  <si>
    <t>KVPQVSTPTLVEVSR</t>
  </si>
  <si>
    <t>HLVDEPQNLIK-CCTKPESER-a4-b8</t>
  </si>
  <si>
    <t>381 (382)</t>
  </si>
  <si>
    <t>13.1 (15.3)</t>
  </si>
  <si>
    <t>HLVDEPQNLIK-CCTKPESER-a5-b8</t>
  </si>
  <si>
    <t>SLHTLFGDELCKVASLR-LVNELTEFAK-a9-b4</t>
  </si>
  <si>
    <t>SLHTLFGDELCKVASLR</t>
  </si>
  <si>
    <t>LFTFHADICTLPDTEK-KVPQVSTPTLVEVSR-a15-b12</t>
  </si>
  <si>
    <t>LFTFHADICTLPDTEK-VPQVSTPTLVEVSR-a15-b11</t>
  </si>
  <si>
    <t>RPCFSALTPDETYVPK-HKPKATEEQLK-a11-b7</t>
  </si>
  <si>
    <t>RPCFSALTPDETYVPK</t>
  </si>
  <si>
    <t>HKPKATEEQLK</t>
  </si>
  <si>
    <t>540 (541)</t>
  </si>
  <si>
    <t>17.8 (20.6)</t>
  </si>
  <si>
    <t>RPCFSALTPDETYVPK-HKPKATEEQLK-a11-b8</t>
  </si>
  <si>
    <t>RPCFSALTPDETYVPK-HKPKATEEQLK-a10-b8</t>
  </si>
  <si>
    <t>ECCHGDLLECADDRADLAK-SEIAHR-a16-b2</t>
  </si>
  <si>
    <t>ECCDKPLLEK-CCTKPESER-a4-b6</t>
  </si>
  <si>
    <t>ECCHGDLLECADDRADLAK-SEIAHR-a13-b2</t>
  </si>
  <si>
    <t>ECCHGDLLECADDRADLAK-NECFLSHK-a6-b2</t>
  </si>
  <si>
    <t>LFTFHADICTLPDTEK-VPQVSTPTLVEVSR-a13-b11</t>
  </si>
  <si>
    <t>GDVAFIQHSTVEENTGGK-YDDESQCSK-a12-b4</t>
  </si>
  <si>
    <t>GDVAFIQHSTVEENTGGK</t>
  </si>
  <si>
    <t>YDDESQCSK</t>
  </si>
  <si>
    <t>sp|P02789|TRFE_CHICK</t>
  </si>
  <si>
    <t>P02789</t>
  </si>
  <si>
    <t>DEYELLCLDGSR-HTTVNENAPDQK-a2-b10</t>
  </si>
  <si>
    <t>DEYELLCLDGSR</t>
  </si>
  <si>
    <t>HTTVNENAPDQK</t>
  </si>
  <si>
    <t>GAIEWEGIESGSVEQAVAK-DQLTPSPR-a6-b1</t>
  </si>
  <si>
    <t>GAIEWEGIESGSVEQAVAK</t>
  </si>
  <si>
    <t>DQLTPSPR</t>
  </si>
  <si>
    <t>TDERPASYFAVAVAR-YDDESQCSK-a3-b4</t>
  </si>
  <si>
    <t>TDERPASYFAVAVAR</t>
  </si>
  <si>
    <t>418 (417)</t>
  </si>
  <si>
    <t>TDERPASYFAVAVAR-YDDESQCSK-a3-b3</t>
  </si>
  <si>
    <t>ECNLAEVPTHAVVVRPEK-TDERPASYFAVAVAR-a1-b3</t>
  </si>
  <si>
    <t>ECNLAEVPTHAVVVRPEK</t>
  </si>
  <si>
    <t>SDFHLFGPPGK-DLTQQER-a2-b1</t>
  </si>
  <si>
    <t>SDFHLFGPPGK</t>
  </si>
  <si>
    <t>DLTQQER</t>
  </si>
  <si>
    <t>SDFHLFGPPGKK-DLTQQER-a2-b1</t>
  </si>
  <si>
    <t>SDFHLFGPPGKK</t>
  </si>
  <si>
    <t>TDERPASYFAVAVAR-YDDESQCSK-a2-b4</t>
  </si>
  <si>
    <t>TDERPASYFAVAVAR-YDDESQCSK-a2-b3</t>
  </si>
  <si>
    <t>ECNLAEVPTHAVVVRPEK-YDDESQCSK-a6-b4</t>
  </si>
  <si>
    <t>ECNLAEVPTHAVVVRPEK-TDERPASYFAVAVAR-a6-b2</t>
  </si>
  <si>
    <t>WCTISSPEEK-DLTQQER-a8-b1</t>
  </si>
  <si>
    <t>WCTISSPEEK</t>
  </si>
  <si>
    <t>16 (17)</t>
  </si>
  <si>
    <t>14.3 (12.4)</t>
  </si>
  <si>
    <t>WCTISSPEEK-DLTQQER-a9-b1</t>
  </si>
  <si>
    <t>HTTVNENAPDQK-GDVAFVK-a10-b2</t>
  </si>
  <si>
    <t>GDVAFVK</t>
  </si>
  <si>
    <t>ECNLAEVPTHAVVVRPEK-YDDESQCSK-a1-b4</t>
  </si>
  <si>
    <t>KGVNLPGAAVDLPAVSEK-AADVHEVR-a11-b6</t>
  </si>
  <si>
    <t>KGVNLPGAAVDLPAVSEK</t>
  </si>
  <si>
    <t>AADVHEVR</t>
  </si>
  <si>
    <t>sp|P11974-1|KPYM_RABIT,sp|P11974-2|KPYM_RABIT</t>
  </si>
  <si>
    <t>P11974-1</t>
  </si>
  <si>
    <t>ECHLAQVPSHAVVAR-APVDAFK-a1-b4</t>
  </si>
  <si>
    <t>ECHLAQVPSHAVVAR</t>
  </si>
  <si>
    <t>APVDAFK</t>
  </si>
  <si>
    <t>sp|P24627|TRFL_BOVIN</t>
  </si>
  <si>
    <t>P24627</t>
  </si>
  <si>
    <t>GEGENQCACSSR-AFALECIR-a4-b5</t>
  </si>
  <si>
    <t>GEGENQCACSSR</t>
  </si>
  <si>
    <t>AFALECIR</t>
  </si>
  <si>
    <t>LGGRPTYEEYLGTEYVTAIANLK-ECHLAQVPSHAVVAR-a8-b1</t>
  </si>
  <si>
    <t>LGGRPTYEEYLGTEYVTAIANLK</t>
  </si>
  <si>
    <t>658 (659)</t>
  </si>
  <si>
    <t>32.9 (33.6)</t>
  </si>
  <si>
    <t>LGGRPTYEEYLGTEYVTAIANLK-ECHLAQVPSHAVVAR-a9-b1</t>
  </si>
  <si>
    <t>FFSASCVPCIDR-GEGENQCACSSR-a11-b2</t>
  </si>
  <si>
    <t>FFSASCVPCIDR</t>
  </si>
  <si>
    <t>APVDAFKECHLAQVPSHAVVAR-ESPQTHYYAVAVVK-a8-b1</t>
  </si>
  <si>
    <t>APVDAFKECHLAQVPSHAVVAR</t>
  </si>
  <si>
    <t>ESPQTHYYAVAVVK</t>
  </si>
  <si>
    <t>TSDANINWNNLK-ENFEVLCK-a3-b4</t>
  </si>
  <si>
    <t>TSDANINWNNLK</t>
  </si>
  <si>
    <t>ENFEVLCK</t>
  </si>
  <si>
    <t>sp|Q29443|TRFE_BOVIN</t>
  </si>
  <si>
    <t>Q29443</t>
  </si>
  <si>
    <t>no model</t>
  </si>
  <si>
    <t>DKPDNFQLFQSPHGK-ILESGPFVSCVK-a4-b3</t>
  </si>
  <si>
    <t>DKPDNFQLFQSPHGK</t>
  </si>
  <si>
    <t>ILESGPFVSCVK</t>
  </si>
  <si>
    <t>KPVTDAENCHLAR-ENFEVLCK-a5-b4</t>
  </si>
  <si>
    <t>KPVTDAENCHLAR</t>
  </si>
  <si>
    <t>KPVTDAENCHLAR-KENFEVLCK-a5-b2</t>
  </si>
  <si>
    <t>KENFEVLCK</t>
  </si>
  <si>
    <t>DKPDNFQLFQSPHGK-DNPQTHYYAVAVVK-a4-b1</t>
  </si>
  <si>
    <t>DNPQTHYYAVAVVK</t>
  </si>
  <si>
    <t>SVDDYQECYLAMVPSHAVVAR-TYDSYLGDDYVR-a4-b3</t>
  </si>
  <si>
    <t>SVDDYQECYLAMVPSHAVVAR</t>
  </si>
  <si>
    <t>TYDSYLGDDYVR</t>
  </si>
  <si>
    <t>QQDDFGK-DECMVK-a3-b2</t>
  </si>
  <si>
    <t>QQDDFGK</t>
  </si>
  <si>
    <t>DECMVK</t>
  </si>
  <si>
    <t>361 (360)</t>
  </si>
  <si>
    <t>QQDDFGK-DECMVK-a3-b1</t>
  </si>
  <si>
    <t>QQDDFGK-DECMVK-a4-b2</t>
  </si>
  <si>
    <t>HSTVFDNLPNPEDRK-CLMEGAGDVAFVK-a12-b4</t>
  </si>
  <si>
    <t>HSTVFDNLPNPEDRK</t>
  </si>
  <si>
    <t>CLMEGAGDVAFVK</t>
  </si>
  <si>
    <t>241 (242)</t>
  </si>
  <si>
    <t>HSTVFDNLPNPEDRK-CLMEGAGDVAFVK-a13-b4</t>
  </si>
  <si>
    <t>WSGFSGGAIECETAENTEECIAK-DECMVK-a10-b1</t>
  </si>
  <si>
    <t>WSGFSGGAIECETAENTEECIAK</t>
  </si>
  <si>
    <t>HSTVFDNLPNPEDRK-LLEACTFHKP-a6-b3</t>
  </si>
  <si>
    <t>LLEACTFHKP</t>
  </si>
  <si>
    <t>ESKPPDSSKDECMVK-ELPDPQESIQR-a10-b4</t>
  </si>
  <si>
    <t>ESKPPDSSKDECMVK</t>
  </si>
  <si>
    <t>ELPDPQESIQR</t>
  </si>
  <si>
    <t>159 (162)</t>
  </si>
  <si>
    <t>ESKPPDSSKDECMVK-ELPDPQESIQR-a10-b7</t>
  </si>
  <si>
    <t>TVGGKEDVIWELLNHAQEHFGK-ILESGPFVSCVK-a18-b3</t>
  </si>
  <si>
    <t>TVGGKEDVIWELLNHAQEHFGK</t>
  </si>
  <si>
    <t>WSGFSGGAIECETAENTEECIAK-ESKPPDSSKDECMVK-a10-b6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</si>
</sst>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0.0"/>
  </numFmts>
  <fonts count="7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  <font>
      <b val="1"/>
      <sz val="11"/>
      <color indexed="11"/>
      <name val="Calibri"/>
    </font>
    <font>
      <b val="1"/>
      <sz val="11"/>
      <color indexed="12"/>
      <name val="Calibri"/>
    </font>
    <font>
      <sz val="11"/>
      <color indexed="13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  <xf numFmtId="0" fontId="3" borderId="1" applyNumberFormat="1" applyFont="1" applyFill="0" applyBorder="1" applyAlignment="1" applyProtection="0">
      <alignment vertical="bottom"/>
    </xf>
    <xf numFmtId="0" fontId="4" fillId="2" borderId="1" applyNumberFormat="1" applyFont="1" applyFill="1" applyBorder="1" applyAlignment="1" applyProtection="0">
      <alignment horizontal="right" vertical="bottom"/>
    </xf>
    <xf numFmtId="49" fontId="4" fillId="2" borderId="1" applyNumberFormat="1" applyFont="1" applyFill="1" applyBorder="1" applyAlignment="1" applyProtection="0">
      <alignment horizontal="right" vertical="bottom"/>
    </xf>
    <xf numFmtId="59" fontId="4" fillId="2" borderId="1" applyNumberFormat="1" applyFont="1" applyFill="1" applyBorder="1" applyAlignment="1" applyProtection="0">
      <alignment horizontal="right" vertical="bottom"/>
    </xf>
    <xf numFmtId="59" fontId="5" fillId="2" borderId="1" applyNumberFormat="1" applyFont="1" applyFill="1" applyBorder="1" applyAlignment="1" applyProtection="0">
      <alignment horizontal="right" vertical="bottom"/>
    </xf>
    <xf numFmtId="49" fontId="5" fillId="2" borderId="1" applyNumberFormat="1" applyFont="1" applyFill="1" applyBorder="1" applyAlignment="1" applyProtection="0">
      <alignment horizontal="right" vertical="bottom"/>
    </xf>
    <xf numFmtId="49" fontId="6" fillId="2" borderId="1" applyNumberFormat="1" applyFont="1" applyFill="1" applyBorder="1" applyAlignment="1" applyProtection="0">
      <alignment horizontal="right"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ff00b050"/>
      <rgbColor rgb="fff79646"/>
      <rgbColor rgb="ff7f7f7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U114"/>
  <sheetViews>
    <sheetView workbookViewId="0" showGridLines="0" defaultGridColor="1"/>
  </sheetViews>
  <sheetFormatPr defaultColWidth="11.5" defaultRowHeight="15" customHeight="1" outlineLevelRow="0" outlineLevelCol="0"/>
  <cols>
    <col min="1" max="1" width="76.6719" style="1" customWidth="1"/>
    <col min="2" max="5" width="22.9531" style="1" customWidth="1"/>
    <col min="6" max="7" width="25" style="1" customWidth="1"/>
    <col min="8" max="9" width="24.6719" style="1" customWidth="1"/>
    <col min="10" max="18" width="11.5" style="1" customWidth="1"/>
    <col min="19" max="19" width="20" style="1" customWidth="1"/>
    <col min="20" max="21" width="11.5" style="1" customWidth="1"/>
    <col min="22" max="16384" width="11.5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3">
        <v>9</v>
      </c>
      <c r="K1" t="s" s="3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3">
        <v>18</v>
      </c>
      <c r="T1" s="4"/>
      <c r="U1" t="s" s="2">
        <v>19</v>
      </c>
    </row>
    <row r="2" ht="13.55" customHeight="1">
      <c r="A2" t="s" s="2">
        <v>20</v>
      </c>
      <c r="B2" t="str" s="4" cm="1">
        <f t="array" ref="B2">_xlfn.TEXTBEFORE(A2,"-")</f>
        <v>NLSVEDAAR</v>
      </c>
      <c r="C2" t="str" s="4" cm="1">
        <f t="array" ref="C2">_xlfn.TEXTBEFORE(_xlfn.TEXTAFTER(A2,"-"),"-")</f>
        <v>VLNEEQR</v>
      </c>
      <c r="D2" s="5" cm="1">
        <f t="array" ref="D2">VALUE(_xlfn.TEXTAFTER(_xlfn.TEXTBEFORE(_xlfn.TEXTAFTER(A2,"-",2),"-"),"a"))</f>
        <v>5</v>
      </c>
      <c r="E2" s="5" cm="1">
        <f t="array" ref="E2">VALUE(_xlfn.TEXTAFTER(_xlfn.TEXTAFTER(A2,"-",2),"b"))</f>
        <v>4</v>
      </c>
      <c r="F2" t="s" s="2">
        <v>23</v>
      </c>
      <c r="G2" t="str" s="4">
        <v>P00432</v>
      </c>
      <c r="H2" t="s" s="2">
        <v>23</v>
      </c>
      <c r="I2" t="str" s="4">
        <v>P00432</v>
      </c>
      <c r="J2" s="6">
        <v>247</v>
      </c>
      <c r="K2" s="6">
        <v>452</v>
      </c>
      <c r="L2" s="5">
        <v>2012.039</v>
      </c>
      <c r="M2" s="5">
        <v>671.687</v>
      </c>
      <c r="N2" s="5">
        <v>3</v>
      </c>
      <c r="O2" s="5">
        <v>-0.7</v>
      </c>
      <c r="P2" s="5">
        <v>0.53</v>
      </c>
      <c r="Q2" s="5">
        <v>0.52</v>
      </c>
      <c r="R2" s="7">
        <v>32.14</v>
      </c>
      <c r="S2" s="8">
        <v>19.9</v>
      </c>
      <c r="T2" s="4"/>
      <c r="U2" t="s" s="2">
        <v>25</v>
      </c>
    </row>
    <row r="3" ht="13.55" customHeight="1">
      <c r="A3" t="s" s="2">
        <v>26</v>
      </c>
      <c r="B3" t="str" s="4" cm="1">
        <f t="array" ref="B3">_xlfn.TEXTBEFORE(A3,"-")</f>
        <v>LAHEDPDYGLR</v>
      </c>
      <c r="C3" t="str" s="4" cm="1">
        <f t="array" ref="C3">_xlfn.TEXTBEFORE(_xlfn.TEXTAFTER(A3,"-"),"-")</f>
        <v>NLSVEDAAR</v>
      </c>
      <c r="D3" s="5" cm="1">
        <f t="array" ref="D3">VALUE(_xlfn.TEXTAFTER(_xlfn.TEXTBEFORE(_xlfn.TEXTAFTER(A3,"-",2),"-"),"a"))</f>
        <v>4</v>
      </c>
      <c r="E3" s="5" cm="1">
        <f t="array" ref="E3">VALUE(_xlfn.TEXTAFTER(_xlfn.TEXTAFTER(A3,"-",2),"b"))</f>
        <v>6</v>
      </c>
      <c r="F3" t="s" s="2">
        <v>23</v>
      </c>
      <c r="G3" t="str" s="4">
        <v>P00432</v>
      </c>
      <c r="H3" t="s" s="2">
        <v>23</v>
      </c>
      <c r="I3" t="str" s="4">
        <v>P00432</v>
      </c>
      <c r="J3" s="6">
        <v>255</v>
      </c>
      <c r="K3" s="6">
        <v>248</v>
      </c>
      <c r="L3" s="5">
        <v>2410.209</v>
      </c>
      <c r="M3" s="5">
        <v>483.05</v>
      </c>
      <c r="N3" s="5">
        <v>5</v>
      </c>
      <c r="O3" s="5">
        <v>4.1</v>
      </c>
      <c r="P3" s="5">
        <v>0.37</v>
      </c>
      <c r="Q3" s="5">
        <v>0.71</v>
      </c>
      <c r="R3" s="7">
        <v>31.64</v>
      </c>
      <c r="S3" s="8">
        <v>10.1</v>
      </c>
      <c r="T3" s="4"/>
      <c r="U3" t="s" s="2">
        <v>25</v>
      </c>
    </row>
    <row r="4" ht="13.55" customHeight="1">
      <c r="A4" t="s" s="2">
        <v>28</v>
      </c>
      <c r="B4" t="str" s="4" cm="1">
        <f t="array" ref="B4">_xlfn.TEXTBEFORE(A4,"-")</f>
        <v>LAHEDPDYGLR</v>
      </c>
      <c r="C4" t="str" s="4" cm="1">
        <f t="array" ref="C4">_xlfn.TEXTBEFORE(_xlfn.TEXTAFTER(A4,"-"),"-")</f>
        <v>NLSVEDAAR</v>
      </c>
      <c r="D4" s="5" cm="1">
        <f t="array" ref="D4">VALUE(_xlfn.TEXTAFTER(_xlfn.TEXTBEFORE(_xlfn.TEXTAFTER(A4,"-",2),"-"),"a"))</f>
        <v>4</v>
      </c>
      <c r="E4" s="5" cm="1">
        <f t="array" ref="E4">VALUE(_xlfn.TEXTAFTER(_xlfn.TEXTAFTER(A4,"-",2),"b"))</f>
        <v>5</v>
      </c>
      <c r="F4" t="s" s="2">
        <v>23</v>
      </c>
      <c r="G4" t="str" s="4">
        <v>P00432</v>
      </c>
      <c r="H4" t="s" s="2">
        <v>23</v>
      </c>
      <c r="I4" t="str" s="4">
        <v>P00432</v>
      </c>
      <c r="J4" t="s" s="3">
        <v>29</v>
      </c>
      <c r="K4" s="6">
        <v>247</v>
      </c>
      <c r="L4" s="5">
        <v>2410.207</v>
      </c>
      <c r="M4" s="5">
        <v>483.049</v>
      </c>
      <c r="N4" s="5">
        <v>5</v>
      </c>
      <c r="O4" s="5">
        <v>3.5</v>
      </c>
      <c r="P4" s="5">
        <v>0.54</v>
      </c>
      <c r="Q4" s="5">
        <v>0.6</v>
      </c>
      <c r="R4" s="7">
        <v>31.54</v>
      </c>
      <c r="S4" t="s" s="9">
        <v>30</v>
      </c>
      <c r="T4" s="4"/>
      <c r="U4" t="s" s="2">
        <v>25</v>
      </c>
    </row>
    <row r="5" ht="13.55" customHeight="1">
      <c r="A5" t="s" s="2">
        <v>31</v>
      </c>
      <c r="B5" t="str" s="4" cm="1">
        <f t="array" ref="B5">_xlfn.TEXTBEFORE(A5,"-")</f>
        <v>LAHEDPDYGLR</v>
      </c>
      <c r="C5" t="str" s="4" cm="1">
        <f t="array" ref="C5">_xlfn.TEXTBEFORE(_xlfn.TEXTAFTER(A5,"-"),"-")</f>
        <v>NLSVEDAAR</v>
      </c>
      <c r="D5" s="5" cm="1">
        <f t="array" ref="D5">VALUE(_xlfn.TEXTAFTER(_xlfn.TEXTBEFORE(_xlfn.TEXTAFTER(A5,"-",2),"-"),"a"))</f>
        <v>5</v>
      </c>
      <c r="E5" s="5" cm="1">
        <f t="array" ref="E5">VALUE(_xlfn.TEXTAFTER(_xlfn.TEXTAFTER(A5,"-",2),"b"))</f>
        <v>5</v>
      </c>
      <c r="F5" t="s" s="2">
        <v>23</v>
      </c>
      <c r="G5" t="str" s="4">
        <v>P00432</v>
      </c>
      <c r="H5" t="s" s="2">
        <v>23</v>
      </c>
      <c r="I5" t="str" s="4">
        <v>P00432</v>
      </c>
      <c r="J5" t="s" s="3">
        <v>29</v>
      </c>
      <c r="K5" s="6">
        <v>247</v>
      </c>
      <c r="L5" s="5">
        <v>2410.207</v>
      </c>
      <c r="M5" s="5">
        <v>483.049</v>
      </c>
      <c r="N5" s="5">
        <v>5</v>
      </c>
      <c r="O5" s="5">
        <v>3.5</v>
      </c>
      <c r="P5" s="5">
        <v>0.54</v>
      </c>
      <c r="Q5" s="5">
        <v>0.6</v>
      </c>
      <c r="R5" s="7">
        <v>31.54</v>
      </c>
      <c r="S5" t="s" s="9">
        <v>30</v>
      </c>
      <c r="T5" s="4"/>
      <c r="U5" t="s" s="2">
        <v>25</v>
      </c>
    </row>
    <row r="6" ht="13.55" customHeight="1">
      <c r="A6" t="s" s="2">
        <v>32</v>
      </c>
      <c r="B6" t="str" s="4" cm="1">
        <f t="array" ref="B6">_xlfn.TEXTBEFORE(A6,"-")</f>
        <v>NFSDVHPEYGSR</v>
      </c>
      <c r="C6" t="str" s="4" cm="1">
        <f t="array" ref="C6">_xlfn.TEXTBEFORE(_xlfn.TEXTAFTER(A6,"-"),"-")</f>
        <v>VLNEEQR</v>
      </c>
      <c r="D6" s="5" cm="1">
        <f t="array" ref="D6">VALUE(_xlfn.TEXTAFTER(_xlfn.TEXTBEFORE(_xlfn.TEXTAFTER(A6,"-",2),"-"),"a"))</f>
        <v>8</v>
      </c>
      <c r="E6" s="5" cm="1">
        <f t="array" ref="E6">VALUE(_xlfn.TEXTAFTER(_xlfn.TEXTAFTER(A6,"-",2),"b"))</f>
        <v>4</v>
      </c>
      <c r="F6" t="s" s="2">
        <v>23</v>
      </c>
      <c r="G6" t="str" s="4">
        <v>P00432</v>
      </c>
      <c r="H6" t="s" s="2">
        <v>23</v>
      </c>
      <c r="I6" t="str" s="4">
        <v>P00432</v>
      </c>
      <c r="J6" s="6">
        <v>487</v>
      </c>
      <c r="K6" s="6">
        <v>452</v>
      </c>
      <c r="L6" s="5">
        <v>2445.185</v>
      </c>
      <c r="M6" s="5">
        <v>490.045</v>
      </c>
      <c r="N6" s="5">
        <v>5</v>
      </c>
      <c r="O6" s="5">
        <v>2.5</v>
      </c>
      <c r="P6" s="5">
        <v>0.44</v>
      </c>
      <c r="Q6" s="5">
        <v>0.41</v>
      </c>
      <c r="R6" s="7">
        <v>28.7</v>
      </c>
      <c r="S6" s="8">
        <v>11.6</v>
      </c>
      <c r="T6" s="4"/>
      <c r="U6" t="s" s="2">
        <v>25</v>
      </c>
    </row>
    <row r="7" ht="13.55" customHeight="1">
      <c r="A7" t="s" s="2">
        <v>34</v>
      </c>
      <c r="B7" t="str" s="4" cm="1">
        <f t="array" ref="B7">_xlfn.TEXTBEFORE(A7,"-")</f>
        <v>LAHEDPDYGLR</v>
      </c>
      <c r="C7" t="str" s="4" cm="1">
        <f t="array" ref="C7">_xlfn.TEXTBEFORE(_xlfn.TEXTAFTER(A7,"-"),"-")</f>
        <v>DAQLFIQK</v>
      </c>
      <c r="D7" s="5" cm="1">
        <f t="array" ref="D7">VALUE(_xlfn.TEXTAFTER(_xlfn.TEXTBEFORE(_xlfn.TEXTAFTER(A7,"-",2),"-"),"a"))</f>
        <v>4</v>
      </c>
      <c r="E7" s="5" cm="1">
        <f t="array" ref="E7">VALUE(_xlfn.TEXTAFTER(_xlfn.TEXTAFTER(A7,"-",2),"b"))</f>
        <v>1</v>
      </c>
      <c r="F7" t="s" s="2">
        <v>23</v>
      </c>
      <c r="G7" t="str" s="4">
        <v>P00432</v>
      </c>
      <c r="H7" t="s" s="2">
        <v>23</v>
      </c>
      <c r="I7" t="str" s="4">
        <v>P00432</v>
      </c>
      <c r="J7" t="s" s="3">
        <v>29</v>
      </c>
      <c r="K7" s="6">
        <v>468</v>
      </c>
      <c r="L7" s="5">
        <v>2398.253</v>
      </c>
      <c r="M7" s="5">
        <v>480.658</v>
      </c>
      <c r="N7" s="5">
        <v>5</v>
      </c>
      <c r="O7" s="5">
        <v>5.5</v>
      </c>
      <c r="P7" s="5">
        <v>0.46</v>
      </c>
      <c r="Q7" s="5">
        <v>0.37</v>
      </c>
      <c r="R7" s="7">
        <v>28.51</v>
      </c>
      <c r="S7" t="s" s="9">
        <v>36</v>
      </c>
      <c r="T7" t="s" s="2">
        <v>37</v>
      </c>
      <c r="U7" t="s" s="2">
        <v>25</v>
      </c>
    </row>
    <row r="8" ht="13.55" customHeight="1">
      <c r="A8" t="s" s="2">
        <v>38</v>
      </c>
      <c r="B8" t="str" s="4" cm="1">
        <f t="array" ref="B8">_xlfn.TEXTBEFORE(A8,"-")</f>
        <v>LAHEDPDYGLR</v>
      </c>
      <c r="C8" t="str" s="4" cm="1">
        <f t="array" ref="C8">_xlfn.TEXTBEFORE(_xlfn.TEXTAFTER(A8,"-"),"-")</f>
        <v>DAQLFIQK</v>
      </c>
      <c r="D8" s="5" cm="1">
        <f t="array" ref="D8">VALUE(_xlfn.TEXTAFTER(_xlfn.TEXTBEFORE(_xlfn.TEXTAFTER(A8,"-",2),"-"),"a"))</f>
        <v>5</v>
      </c>
      <c r="E8" s="5" cm="1">
        <f t="array" ref="E8">VALUE(_xlfn.TEXTAFTER(_xlfn.TEXTAFTER(A8,"-",2),"b"))</f>
        <v>1</v>
      </c>
      <c r="F8" t="s" s="2">
        <v>23</v>
      </c>
      <c r="G8" t="str" s="4">
        <v>P00432</v>
      </c>
      <c r="H8" t="s" s="2">
        <v>23</v>
      </c>
      <c r="I8" t="str" s="4">
        <v>P00432</v>
      </c>
      <c r="J8" t="s" s="3">
        <v>29</v>
      </c>
      <c r="K8" s="6">
        <v>468</v>
      </c>
      <c r="L8" s="5">
        <v>2398.253</v>
      </c>
      <c r="M8" s="5">
        <v>480.658</v>
      </c>
      <c r="N8" s="5">
        <v>5</v>
      </c>
      <c r="O8" s="5">
        <v>5.5</v>
      </c>
      <c r="P8" s="5">
        <v>0.46</v>
      </c>
      <c r="Q8" s="5">
        <v>0.37</v>
      </c>
      <c r="R8" s="7">
        <v>28.51</v>
      </c>
      <c r="S8" t="s" s="9">
        <v>36</v>
      </c>
      <c r="T8" t="s" s="2">
        <v>37</v>
      </c>
      <c r="U8" t="s" s="2">
        <v>25</v>
      </c>
    </row>
    <row r="9" ht="13.55" customHeight="1">
      <c r="A9" t="s" s="2">
        <v>39</v>
      </c>
      <c r="B9" t="str" s="4" cm="1">
        <f t="array" ref="B9">_xlfn.TEXTBEFORE(A9,"-")</f>
        <v>RLCENIAGHLK</v>
      </c>
      <c r="C9" t="str" s="4" cm="1">
        <f t="array" ref="C9">_xlfn.TEXTBEFORE(_xlfn.TEXTAFTER(A9,"-"),"-")</f>
        <v>NLSVEDAAR</v>
      </c>
      <c r="D9" s="5" cm="1">
        <f t="array" ref="D9">VALUE(_xlfn.TEXTAFTER(_xlfn.TEXTBEFORE(_xlfn.TEXTAFTER(A9,"-",2),"-"),"a"))</f>
        <v>4</v>
      </c>
      <c r="E9" s="5" cm="1">
        <f t="array" ref="E9">VALUE(_xlfn.TEXTAFTER(_xlfn.TEXTAFTER(A9,"-",2),"b"))</f>
        <v>6</v>
      </c>
      <c r="F9" t="s" s="2">
        <v>23</v>
      </c>
      <c r="G9" t="str" s="4">
        <v>P00432</v>
      </c>
      <c r="H9" t="s" s="2">
        <v>23</v>
      </c>
      <c r="I9" t="str" s="4">
        <v>P00432</v>
      </c>
      <c r="J9" s="6">
        <v>460</v>
      </c>
      <c r="K9" t="s" s="3">
        <v>41</v>
      </c>
      <c r="L9" s="5">
        <v>2435.295</v>
      </c>
      <c r="M9" s="5">
        <v>488.067</v>
      </c>
      <c r="N9" s="5">
        <v>5</v>
      </c>
      <c r="O9" s="5">
        <v>5.7</v>
      </c>
      <c r="P9" s="5">
        <v>0.27</v>
      </c>
      <c r="Q9" s="5">
        <v>0.67</v>
      </c>
      <c r="R9" s="7">
        <v>27.93</v>
      </c>
      <c r="S9" t="s" s="9">
        <v>42</v>
      </c>
      <c r="T9" s="4"/>
      <c r="U9" t="s" s="2">
        <v>25</v>
      </c>
    </row>
    <row r="10" ht="13.55" customHeight="1">
      <c r="A10" t="s" s="2">
        <v>43</v>
      </c>
      <c r="B10" t="str" s="4" cm="1">
        <f t="array" ref="B10">_xlfn.TEXTBEFORE(A10,"-")</f>
        <v>RLCENIAGHLK</v>
      </c>
      <c r="C10" t="str" s="4" cm="1">
        <f t="array" ref="C10">_xlfn.TEXTBEFORE(_xlfn.TEXTAFTER(A10,"-"),"-")</f>
        <v>NLSVEDAAR</v>
      </c>
      <c r="D10" s="5" cm="1">
        <f t="array" ref="D10">VALUE(_xlfn.TEXTAFTER(_xlfn.TEXTBEFORE(_xlfn.TEXTAFTER(A10,"-",2),"-"),"a"))</f>
        <v>4</v>
      </c>
      <c r="E10" s="5" cm="1">
        <f t="array" ref="E10">VALUE(_xlfn.TEXTAFTER(_xlfn.TEXTAFTER(A10,"-",2),"b"))</f>
        <v>5</v>
      </c>
      <c r="F10" t="s" s="2">
        <v>23</v>
      </c>
      <c r="G10" t="str" s="4">
        <v>P00432</v>
      </c>
      <c r="H10" t="s" s="2">
        <v>23</v>
      </c>
      <c r="I10" t="str" s="4">
        <v>P00432</v>
      </c>
      <c r="J10" s="6">
        <v>460</v>
      </c>
      <c r="K10" t="s" s="3">
        <v>41</v>
      </c>
      <c r="L10" s="5">
        <v>2435.295</v>
      </c>
      <c r="M10" s="5">
        <v>488.067</v>
      </c>
      <c r="N10" s="5">
        <v>5</v>
      </c>
      <c r="O10" s="5">
        <v>5.7</v>
      </c>
      <c r="P10" s="5">
        <v>0.27</v>
      </c>
      <c r="Q10" s="5">
        <v>0.67</v>
      </c>
      <c r="R10" s="7">
        <v>27.93</v>
      </c>
      <c r="S10" t="s" s="9">
        <v>42</v>
      </c>
      <c r="T10" s="4"/>
      <c r="U10" t="s" s="2">
        <v>25</v>
      </c>
    </row>
    <row r="11" ht="13.55" customHeight="1">
      <c r="A11" t="s" s="2">
        <v>44</v>
      </c>
      <c r="B11" t="str" s="4" cm="1">
        <f t="array" ref="B11">_xlfn.TEXTBEFORE(A11,"-")</f>
        <v>LAHEDPDYGLR</v>
      </c>
      <c r="C11" t="str" s="4" cm="1">
        <f t="array" ref="C11">_xlfn.TEXTBEFORE(_xlfn.TEXTAFTER(A11,"-"),"-")</f>
        <v>YNEEKPK</v>
      </c>
      <c r="D11" s="5" cm="1">
        <f t="array" ref="D11">VALUE(_xlfn.TEXTAFTER(_xlfn.TEXTBEFORE(_xlfn.TEXTAFTER(A11,"-",2),"-"),"a"))</f>
        <v>5</v>
      </c>
      <c r="E11" s="5" cm="1">
        <f t="array" ref="E11">VALUE(_xlfn.TEXTAFTER(_xlfn.TEXTAFTER(A11,"-",2),"b"))</f>
        <v>3</v>
      </c>
      <c r="F11" t="s" s="2">
        <v>23</v>
      </c>
      <c r="G11" t="str" s="4">
        <v>P00432</v>
      </c>
      <c r="H11" t="s" s="2">
        <v>23</v>
      </c>
      <c r="I11" t="str" s="4">
        <v>P00432</v>
      </c>
      <c r="J11" s="6">
        <v>256</v>
      </c>
      <c r="K11" s="6">
        <v>501</v>
      </c>
      <c r="L11" s="5">
        <v>2343.169</v>
      </c>
      <c r="M11" s="5">
        <v>391.536</v>
      </c>
      <c r="N11" s="5">
        <v>6</v>
      </c>
      <c r="O11" s="5">
        <v>3.3</v>
      </c>
      <c r="P11" s="5">
        <v>0.64</v>
      </c>
      <c r="Q11" s="5">
        <v>0.8</v>
      </c>
      <c r="R11" s="7">
        <v>27.68</v>
      </c>
      <c r="S11" s="8">
        <v>22.6</v>
      </c>
      <c r="T11" t="s" s="2">
        <v>37</v>
      </c>
      <c r="U11" t="s" s="2">
        <v>25</v>
      </c>
    </row>
    <row r="12" ht="13.55" customHeight="1">
      <c r="A12" t="s" s="2">
        <v>46</v>
      </c>
      <c r="B12" t="str" s="4" cm="1">
        <f t="array" ref="B12">_xlfn.TEXTBEFORE(A12,"-")</f>
        <v>LAHEDPDYGLR</v>
      </c>
      <c r="C12" t="str" s="4" cm="1">
        <f t="array" ref="C12">_xlfn.TEXTBEFORE(_xlfn.TEXTAFTER(A12,"-"),"-")</f>
        <v>YNEEKPK</v>
      </c>
      <c r="D12" s="5" cm="1">
        <f t="array" ref="D12">VALUE(_xlfn.TEXTAFTER(_xlfn.TEXTBEFORE(_xlfn.TEXTAFTER(A12,"-",2),"-"),"a"))</f>
        <v>4</v>
      </c>
      <c r="E12" s="5" cm="1">
        <f t="array" ref="E12">VALUE(_xlfn.TEXTAFTER(_xlfn.TEXTAFTER(A12,"-",2),"b"))</f>
        <v>3</v>
      </c>
      <c r="F12" t="s" s="2">
        <v>23</v>
      </c>
      <c r="G12" t="str" s="4">
        <v>P00432</v>
      </c>
      <c r="H12" t="s" s="2">
        <v>23</v>
      </c>
      <c r="I12" t="str" s="4">
        <v>P00432</v>
      </c>
      <c r="J12" s="6">
        <v>255</v>
      </c>
      <c r="K12" t="s" s="3">
        <v>47</v>
      </c>
      <c r="L12" s="5">
        <v>2343.169</v>
      </c>
      <c r="M12" s="5">
        <v>469.642</v>
      </c>
      <c r="N12" s="5">
        <v>5</v>
      </c>
      <c r="O12" s="5">
        <v>3.6</v>
      </c>
      <c r="P12" s="5">
        <v>0.33</v>
      </c>
      <c r="Q12" s="5">
        <v>0.82</v>
      </c>
      <c r="R12" s="7">
        <v>27.55</v>
      </c>
      <c r="S12" t="s" s="3">
        <v>48</v>
      </c>
      <c r="T12" t="s" s="2">
        <v>37</v>
      </c>
      <c r="U12" t="s" s="2">
        <v>25</v>
      </c>
    </row>
    <row r="13" ht="13.55" customHeight="1">
      <c r="A13" t="s" s="2">
        <v>49</v>
      </c>
      <c r="B13" t="str" s="4" cm="1">
        <f t="array" ref="B13">_xlfn.TEXTBEFORE(A13,"-")</f>
        <v>LAHEDPDYGLR</v>
      </c>
      <c r="C13" t="str" s="4" cm="1">
        <f t="array" ref="C13">_xlfn.TEXTBEFORE(_xlfn.TEXTAFTER(A13,"-"),"-")</f>
        <v>YNEEKPK</v>
      </c>
      <c r="D13" s="5" cm="1">
        <f t="array" ref="D13">VALUE(_xlfn.TEXTAFTER(_xlfn.TEXTBEFORE(_xlfn.TEXTAFTER(A13,"-",2),"-"),"a"))</f>
        <v>4</v>
      </c>
      <c r="E13" s="5" cm="1">
        <f t="array" ref="E13">VALUE(_xlfn.TEXTAFTER(_xlfn.TEXTAFTER(A13,"-",2),"b"))</f>
        <v>4</v>
      </c>
      <c r="F13" t="s" s="2">
        <v>23</v>
      </c>
      <c r="G13" t="str" s="4">
        <v>P00432</v>
      </c>
      <c r="H13" t="s" s="2">
        <v>23</v>
      </c>
      <c r="I13" t="str" s="4">
        <v>P00432</v>
      </c>
      <c r="J13" s="6">
        <v>255</v>
      </c>
      <c r="K13" t="s" s="3">
        <v>47</v>
      </c>
      <c r="L13" s="5">
        <v>2343.169</v>
      </c>
      <c r="M13" s="5">
        <v>469.642</v>
      </c>
      <c r="N13" s="5">
        <v>5</v>
      </c>
      <c r="O13" s="5">
        <v>3.6</v>
      </c>
      <c r="P13" s="5">
        <v>0.33</v>
      </c>
      <c r="Q13" s="5">
        <v>0.82</v>
      </c>
      <c r="R13" s="7">
        <v>27.55</v>
      </c>
      <c r="S13" t="s" s="3">
        <v>48</v>
      </c>
      <c r="T13" t="s" s="2">
        <v>37</v>
      </c>
      <c r="U13" t="s" s="2">
        <v>25</v>
      </c>
    </row>
    <row r="14" ht="13.55" customHeight="1">
      <c r="A14" t="s" s="2">
        <v>50</v>
      </c>
      <c r="B14" t="str" s="4" cm="1">
        <f t="array" ref="B14">_xlfn.TEXTBEFORE(A14,"-")</f>
        <v>LAHEDPDYGLR</v>
      </c>
      <c r="C14" t="str" s="4" cm="1">
        <f t="array" ref="C14">_xlfn.TEXTBEFORE(_xlfn.TEXTAFTER(A14,"-"),"-")</f>
        <v>YNEEKPK</v>
      </c>
      <c r="D14" s="5" cm="1">
        <f t="array" ref="D14">VALUE(_xlfn.TEXTAFTER(_xlfn.TEXTBEFORE(_xlfn.TEXTAFTER(A14,"-",2),"-"),"a"))</f>
        <v>5</v>
      </c>
      <c r="E14" s="5" cm="1">
        <f t="array" ref="E14">VALUE(_xlfn.TEXTAFTER(_xlfn.TEXTAFTER(A14,"-",2),"b"))</f>
        <v>4</v>
      </c>
      <c r="F14" t="s" s="2">
        <v>23</v>
      </c>
      <c r="G14" t="str" s="4">
        <v>P00432</v>
      </c>
      <c r="H14" t="s" s="2">
        <v>23</v>
      </c>
      <c r="I14" t="str" s="4">
        <v>P00432</v>
      </c>
      <c r="J14" s="6">
        <v>256</v>
      </c>
      <c r="K14" s="6">
        <v>502</v>
      </c>
      <c r="L14" s="5">
        <v>2343.172</v>
      </c>
      <c r="M14" s="5">
        <v>586.801</v>
      </c>
      <c r="N14" s="5">
        <v>4</v>
      </c>
      <c r="O14" s="5">
        <v>4.7</v>
      </c>
      <c r="P14" s="5">
        <v>0.34</v>
      </c>
      <c r="Q14" s="5">
        <v>0.73</v>
      </c>
      <c r="R14" s="7">
        <v>26.41</v>
      </c>
      <c r="S14" t="s" s="3">
        <v>51</v>
      </c>
      <c r="T14" s="4"/>
      <c r="U14" t="s" s="2">
        <v>25</v>
      </c>
    </row>
    <row r="15" ht="13.55" customHeight="1">
      <c r="A15" t="s" s="2">
        <v>52</v>
      </c>
      <c r="B15" t="str" s="4" cm="1">
        <f t="array" ref="B15">_xlfn.TEXTBEFORE(A15,"-")</f>
        <v>LCENIAGHLK</v>
      </c>
      <c r="C15" t="str" s="4" cm="1">
        <f t="array" ref="C15">_xlfn.TEXTBEFORE(_xlfn.TEXTAFTER(A15,"-"),"-")</f>
        <v>NLSVEDAAR</v>
      </c>
      <c r="D15" s="5" cm="1">
        <f t="array" ref="D15">VALUE(_xlfn.TEXTAFTER(_xlfn.TEXTBEFORE(_xlfn.TEXTAFTER(A15,"-",2),"-"),"a"))</f>
        <v>3</v>
      </c>
      <c r="E15" s="5" cm="1">
        <f t="array" ref="E15">VALUE(_xlfn.TEXTAFTER(_xlfn.TEXTAFTER(A15,"-",2),"b"))</f>
        <v>6</v>
      </c>
      <c r="F15" t="s" s="2">
        <v>23</v>
      </c>
      <c r="G15" t="str" s="4">
        <v>P00432</v>
      </c>
      <c r="H15" t="s" s="2">
        <v>23</v>
      </c>
      <c r="I15" t="str" s="4">
        <v>P00432</v>
      </c>
      <c r="J15" s="6">
        <v>460</v>
      </c>
      <c r="K15" s="6">
        <v>248</v>
      </c>
      <c r="L15" s="5">
        <v>2279.19</v>
      </c>
      <c r="M15" s="5">
        <v>570.8049999999999</v>
      </c>
      <c r="N15" s="5">
        <v>4</v>
      </c>
      <c r="O15" s="5">
        <v>4.4</v>
      </c>
      <c r="P15" s="5">
        <v>0.21</v>
      </c>
      <c r="Q15" s="5">
        <v>0.59</v>
      </c>
      <c r="R15" s="7">
        <v>25.78</v>
      </c>
      <c r="S15" s="8">
        <v>16.1</v>
      </c>
      <c r="T15" s="4"/>
      <c r="U15" t="s" s="2">
        <v>25</v>
      </c>
    </row>
    <row r="16" ht="13.55" customHeight="1">
      <c r="A16" t="s" s="2">
        <v>54</v>
      </c>
      <c r="B16" t="str" s="4" cm="1">
        <f t="array" ref="B16">_xlfn.TEXTBEFORE(A16,"-")</f>
        <v>RLCENIAGHLK</v>
      </c>
      <c r="C16" t="str" s="4" cm="1">
        <f t="array" ref="C16">_xlfn.TEXTBEFORE(_xlfn.TEXTAFTER(A16,"-"),"-")</f>
        <v>VLNEEQR</v>
      </c>
      <c r="D16" s="5" cm="1">
        <f t="array" ref="D16">VALUE(_xlfn.TEXTAFTER(_xlfn.TEXTBEFORE(_xlfn.TEXTAFTER(A16,"-",2),"-"),"a"))</f>
        <v>4</v>
      </c>
      <c r="E16" s="5" cm="1">
        <f t="array" ref="E16">VALUE(_xlfn.TEXTAFTER(_xlfn.TEXTAFTER(A16,"-",2),"b"))</f>
        <v>5</v>
      </c>
      <c r="F16" t="s" s="2">
        <v>23</v>
      </c>
      <c r="G16" t="str" s="4">
        <v>P00432</v>
      </c>
      <c r="H16" t="s" s="2">
        <v>23</v>
      </c>
      <c r="I16" t="str" s="4">
        <v>P00432</v>
      </c>
      <c r="J16" s="6">
        <v>460</v>
      </c>
      <c r="K16" t="s" s="3">
        <v>55</v>
      </c>
      <c r="L16" s="5">
        <v>2348.261</v>
      </c>
      <c r="M16" s="5">
        <v>470.66</v>
      </c>
      <c r="N16" s="5">
        <v>5</v>
      </c>
      <c r="O16" s="5">
        <v>5</v>
      </c>
      <c r="P16" s="5">
        <v>0.19</v>
      </c>
      <c r="Q16" s="5">
        <v>0.62</v>
      </c>
      <c r="R16" s="7">
        <v>25.71</v>
      </c>
      <c r="S16" t="s" s="9">
        <v>56</v>
      </c>
      <c r="T16" s="4"/>
      <c r="U16" t="s" s="2">
        <v>25</v>
      </c>
    </row>
    <row r="17" ht="13.55" customHeight="1">
      <c r="A17" t="s" s="2">
        <v>57</v>
      </c>
      <c r="B17" t="str" s="4" cm="1">
        <f t="array" ref="B17">_xlfn.TEXTBEFORE(A17,"-")</f>
        <v>RLCENIAGHLK</v>
      </c>
      <c r="C17" t="str" s="4" cm="1">
        <f t="array" ref="C17">_xlfn.TEXTBEFORE(_xlfn.TEXTAFTER(A17,"-"),"-")</f>
        <v>VLNEEQR</v>
      </c>
      <c r="D17" s="5" cm="1">
        <f t="array" ref="D17">VALUE(_xlfn.TEXTAFTER(_xlfn.TEXTBEFORE(_xlfn.TEXTAFTER(A17,"-",2),"-"),"a"))</f>
        <v>4</v>
      </c>
      <c r="E17" s="5" cm="1">
        <f t="array" ref="E17">VALUE(_xlfn.TEXTAFTER(_xlfn.TEXTAFTER(A17,"-",2),"b"))</f>
        <v>4</v>
      </c>
      <c r="F17" t="s" s="2">
        <v>23</v>
      </c>
      <c r="G17" t="str" s="4">
        <v>P00432</v>
      </c>
      <c r="H17" t="s" s="2">
        <v>23</v>
      </c>
      <c r="I17" t="str" s="4">
        <v>P00432</v>
      </c>
      <c r="J17" s="6">
        <v>460</v>
      </c>
      <c r="K17" t="s" s="3">
        <v>55</v>
      </c>
      <c r="L17" s="5">
        <v>2348.261</v>
      </c>
      <c r="M17" s="5">
        <v>470.66</v>
      </c>
      <c r="N17" s="5">
        <v>5</v>
      </c>
      <c r="O17" s="5">
        <v>5</v>
      </c>
      <c r="P17" s="5">
        <v>0.19</v>
      </c>
      <c r="Q17" s="5">
        <v>0.62</v>
      </c>
      <c r="R17" s="7">
        <v>25.71</v>
      </c>
      <c r="S17" t="s" s="9">
        <v>56</v>
      </c>
      <c r="T17" s="4"/>
      <c r="U17" t="s" s="2">
        <v>25</v>
      </c>
    </row>
    <row r="18" ht="13.55" customHeight="1">
      <c r="A18" t="s" s="2">
        <v>58</v>
      </c>
      <c r="B18" t="str" s="4" cm="1">
        <f t="array" ref="B18">_xlfn.TEXTBEFORE(A18,"-")</f>
        <v>LAHEDPDYGLR</v>
      </c>
      <c r="C18" t="str" s="4" cm="1">
        <f t="array" ref="C18">_xlfn.TEXTBEFORE(_xlfn.TEXTAFTER(A18,"-"),"-")</f>
        <v>DPASDQMK</v>
      </c>
      <c r="D18" s="5" cm="1">
        <f t="array" ref="D18">VALUE(_xlfn.TEXTAFTER(_xlfn.TEXTBEFORE(_xlfn.TEXTAFTER(A18,"-",2),"-"),"a"))</f>
        <v>5</v>
      </c>
      <c r="E18" s="5" cm="1">
        <f t="array" ref="E18">VALUE(_xlfn.TEXTAFTER(_xlfn.TEXTAFTER(A18,"-",2),"b"))</f>
        <v>1</v>
      </c>
      <c r="F18" t="s" s="2">
        <v>23</v>
      </c>
      <c r="G18" t="str" s="4">
        <v>P00432</v>
      </c>
      <c r="H18" t="s" s="2">
        <v>23</v>
      </c>
      <c r="I18" t="str" s="4">
        <v>P00432</v>
      </c>
      <c r="J18" s="6">
        <v>256</v>
      </c>
      <c r="K18" s="6">
        <v>5</v>
      </c>
      <c r="L18" s="5">
        <v>2327.105</v>
      </c>
      <c r="M18" s="5">
        <v>582.784</v>
      </c>
      <c r="N18" s="5">
        <v>4</v>
      </c>
      <c r="O18" s="5">
        <v>3.7</v>
      </c>
      <c r="P18" s="5">
        <v>0.27</v>
      </c>
      <c r="Q18" s="5">
        <v>0.39</v>
      </c>
      <c r="R18" s="7">
        <v>24.79</v>
      </c>
      <c r="S18" s="8">
        <v>14.3</v>
      </c>
      <c r="T18" s="4"/>
      <c r="U18" t="s" s="2">
        <v>25</v>
      </c>
    </row>
    <row r="19" ht="13.55" customHeight="1">
      <c r="A19" t="s" s="2">
        <v>60</v>
      </c>
      <c r="B19" t="str" s="4" cm="1">
        <f t="array" ref="B19">_xlfn.TEXTBEFORE(A19,"-")</f>
        <v>LAHEDPDYGLR</v>
      </c>
      <c r="C19" t="str" s="4" cm="1">
        <f t="array" ref="C19">_xlfn.TEXTBEFORE(_xlfn.TEXTAFTER(A19,"-"),"-")</f>
        <v>LCENIAGHLK</v>
      </c>
      <c r="D19" s="5" cm="1">
        <f t="array" ref="D19">VALUE(_xlfn.TEXTAFTER(_xlfn.TEXTBEFORE(_xlfn.TEXTAFTER(A19,"-",2),"-"),"a"))</f>
        <v>4</v>
      </c>
      <c r="E19" s="5" cm="1">
        <f t="array" ref="E19">VALUE(_xlfn.TEXTAFTER(_xlfn.TEXTAFTER(A19,"-",2),"b"))</f>
        <v>3</v>
      </c>
      <c r="F19" t="s" s="2">
        <v>23</v>
      </c>
      <c r="G19" t="str" s="4">
        <v>P00432</v>
      </c>
      <c r="H19" t="s" s="2">
        <v>23</v>
      </c>
      <c r="I19" t="str" s="4">
        <v>P00432</v>
      </c>
      <c r="J19" t="s" s="3">
        <v>29</v>
      </c>
      <c r="K19" s="6">
        <v>460</v>
      </c>
      <c r="L19" s="5">
        <v>2590.318</v>
      </c>
      <c r="M19" s="5">
        <v>519.071</v>
      </c>
      <c r="N19" s="5">
        <v>5</v>
      </c>
      <c r="O19" s="5">
        <v>4.2</v>
      </c>
      <c r="P19" s="5">
        <v>0.18</v>
      </c>
      <c r="Q19" s="5">
        <v>0.52</v>
      </c>
      <c r="R19" s="7">
        <v>24.77</v>
      </c>
      <c r="S19" t="s" s="9">
        <v>61</v>
      </c>
      <c r="T19" t="s" s="2">
        <v>37</v>
      </c>
      <c r="U19" t="s" s="2">
        <v>25</v>
      </c>
    </row>
    <row r="20" ht="13.55" customHeight="1">
      <c r="A20" t="s" s="2">
        <v>62</v>
      </c>
      <c r="B20" t="str" s="4" cm="1">
        <f t="array" ref="B20">_xlfn.TEXTBEFORE(A20,"-")</f>
        <v>LAHEDPDYGLR</v>
      </c>
      <c r="C20" t="str" s="4" cm="1">
        <f t="array" ref="C20">_xlfn.TEXTBEFORE(_xlfn.TEXTAFTER(A20,"-"),"-")</f>
        <v>LCENIAGHLK</v>
      </c>
      <c r="D20" s="5" cm="1">
        <f t="array" ref="D20">VALUE(_xlfn.TEXTAFTER(_xlfn.TEXTBEFORE(_xlfn.TEXTAFTER(A20,"-",2),"-"),"a"))</f>
        <v>5</v>
      </c>
      <c r="E20" s="5" cm="1">
        <f t="array" ref="E20">VALUE(_xlfn.TEXTAFTER(_xlfn.TEXTAFTER(A20,"-",2),"b"))</f>
        <v>3</v>
      </c>
      <c r="F20" t="s" s="2">
        <v>23</v>
      </c>
      <c r="G20" t="str" s="4">
        <v>P00432</v>
      </c>
      <c r="H20" t="s" s="2">
        <v>23</v>
      </c>
      <c r="I20" t="str" s="4">
        <v>P00432</v>
      </c>
      <c r="J20" t="s" s="3">
        <v>29</v>
      </c>
      <c r="K20" s="6">
        <v>460</v>
      </c>
      <c r="L20" s="5">
        <v>2590.318</v>
      </c>
      <c r="M20" s="5">
        <v>519.071</v>
      </c>
      <c r="N20" s="5">
        <v>5</v>
      </c>
      <c r="O20" s="5">
        <v>4.2</v>
      </c>
      <c r="P20" s="5">
        <v>0.18</v>
      </c>
      <c r="Q20" s="5">
        <v>0.52</v>
      </c>
      <c r="R20" s="7">
        <v>24.77</v>
      </c>
      <c r="S20" t="s" s="9">
        <v>61</v>
      </c>
      <c r="T20" t="s" s="2">
        <v>37</v>
      </c>
      <c r="U20" t="s" s="2">
        <v>25</v>
      </c>
    </row>
    <row r="21" ht="13.55" customHeight="1">
      <c r="A21" t="s" s="2">
        <v>63</v>
      </c>
      <c r="B21" t="str" s="4" cm="1">
        <f t="array" ref="B21">_xlfn.TEXTBEFORE(A21,"-")</f>
        <v>IQALLDK</v>
      </c>
      <c r="C21" t="str" s="4" cm="1">
        <f t="array" ref="C21">_xlfn.TEXTBEFORE(_xlfn.TEXTAFTER(A21,"-"),"-")</f>
        <v>YNEEKPK</v>
      </c>
      <c r="D21" s="5" cm="1">
        <f t="array" ref="D21">VALUE(_xlfn.TEXTAFTER(_xlfn.TEXTBEFORE(_xlfn.TEXTAFTER(A21,"-",2),"-"),"a"))</f>
        <v>6</v>
      </c>
      <c r="E21" s="5" cm="1">
        <f t="array" ref="E21">VALUE(_xlfn.TEXTAFTER(_xlfn.TEXTAFTER(A21,"-",2),"b"))</f>
        <v>3</v>
      </c>
      <c r="F21" t="s" s="2">
        <v>23</v>
      </c>
      <c r="G21" t="str" s="4">
        <v>P00432</v>
      </c>
      <c r="H21" t="s" s="2">
        <v>23</v>
      </c>
      <c r="I21" t="str" s="4">
        <v>P00432</v>
      </c>
      <c r="J21" s="6">
        <v>497</v>
      </c>
      <c r="K21" t="s" s="3">
        <v>47</v>
      </c>
      <c r="L21" s="5">
        <v>1858.034</v>
      </c>
      <c r="M21" s="5">
        <v>465.516</v>
      </c>
      <c r="N21" s="5">
        <v>4</v>
      </c>
      <c r="O21" s="5">
        <v>1.2</v>
      </c>
      <c r="P21" s="5">
        <v>0.35</v>
      </c>
      <c r="Q21" s="5">
        <v>0.66</v>
      </c>
      <c r="R21" s="7">
        <v>24.74</v>
      </c>
      <c r="S21" t="s" s="3">
        <v>65</v>
      </c>
      <c r="T21" s="4"/>
      <c r="U21" t="s" s="2">
        <v>25</v>
      </c>
    </row>
    <row r="22" ht="13.55" customHeight="1">
      <c r="A22" t="s" s="2">
        <v>66</v>
      </c>
      <c r="B22" t="str" s="4" cm="1">
        <f t="array" ref="B22">_xlfn.TEXTBEFORE(A22,"-")</f>
        <v>IQALLDK</v>
      </c>
      <c r="C22" t="str" s="4" cm="1">
        <f t="array" ref="C22">_xlfn.TEXTBEFORE(_xlfn.TEXTAFTER(A22,"-"),"-")</f>
        <v>YNEEKPK</v>
      </c>
      <c r="D22" s="5" cm="1">
        <f t="array" ref="D22">VALUE(_xlfn.TEXTAFTER(_xlfn.TEXTBEFORE(_xlfn.TEXTAFTER(A22,"-",2),"-"),"a"))</f>
        <v>6</v>
      </c>
      <c r="E22" s="5" cm="1">
        <f t="array" ref="E22">VALUE(_xlfn.TEXTAFTER(_xlfn.TEXTAFTER(A22,"-",2),"b"))</f>
        <v>4</v>
      </c>
      <c r="F22" t="s" s="2">
        <v>23</v>
      </c>
      <c r="G22" t="str" s="4">
        <v>P00432</v>
      </c>
      <c r="H22" t="s" s="2">
        <v>23</v>
      </c>
      <c r="I22" t="str" s="4">
        <v>P00432</v>
      </c>
      <c r="J22" s="6">
        <v>497</v>
      </c>
      <c r="K22" t="s" s="3">
        <v>47</v>
      </c>
      <c r="L22" s="5">
        <v>1858.034</v>
      </c>
      <c r="M22" s="5">
        <v>465.516</v>
      </c>
      <c r="N22" s="5">
        <v>4</v>
      </c>
      <c r="O22" s="5">
        <v>1.2</v>
      </c>
      <c r="P22" s="5">
        <v>0.35</v>
      </c>
      <c r="Q22" s="5">
        <v>0.66</v>
      </c>
      <c r="R22" s="7">
        <v>24.74</v>
      </c>
      <c r="S22" t="s" s="3">
        <v>65</v>
      </c>
      <c r="T22" s="4"/>
      <c r="U22" t="s" s="2">
        <v>25</v>
      </c>
    </row>
    <row r="23" ht="13.55" customHeight="1">
      <c r="A23" t="s" s="2">
        <v>67</v>
      </c>
      <c r="B23" t="str" s="4" cm="1">
        <f t="array" ref="B23">_xlfn.TEXTBEFORE(A23,"-")</f>
        <v>RLCENIAGHLK</v>
      </c>
      <c r="C23" t="str" s="4" cm="1">
        <f t="array" ref="C23">_xlfn.TEXTBEFORE(_xlfn.TEXTAFTER(A23,"-"),"-")</f>
        <v>YNEEKPK</v>
      </c>
      <c r="D23" s="5" cm="1">
        <f t="array" ref="D23">VALUE(_xlfn.TEXTAFTER(_xlfn.TEXTBEFORE(_xlfn.TEXTAFTER(A23,"-",2),"-"),"a"))</f>
        <v>4</v>
      </c>
      <c r="E23" s="5" cm="1">
        <f t="array" ref="E23">VALUE(_xlfn.TEXTAFTER(_xlfn.TEXTAFTER(A23,"-",2),"b"))</f>
        <v>4</v>
      </c>
      <c r="F23" t="s" s="2">
        <v>23</v>
      </c>
      <c r="G23" t="str" s="4">
        <v>P00432</v>
      </c>
      <c r="H23" t="s" s="2">
        <v>23</v>
      </c>
      <c r="I23" t="str" s="4">
        <v>P00432</v>
      </c>
      <c r="J23" s="6">
        <v>460</v>
      </c>
      <c r="K23" s="6">
        <v>502</v>
      </c>
      <c r="L23" s="5">
        <v>2368.254</v>
      </c>
      <c r="M23" s="5">
        <v>593.071</v>
      </c>
      <c r="N23" s="5">
        <v>4</v>
      </c>
      <c r="O23" s="5">
        <v>4.6</v>
      </c>
      <c r="P23" s="5">
        <v>0.23</v>
      </c>
      <c r="Q23" s="5">
        <v>0.67</v>
      </c>
      <c r="R23" s="7">
        <v>24.44</v>
      </c>
      <c r="S23" t="s" s="3">
        <v>51</v>
      </c>
      <c r="T23" s="4"/>
      <c r="U23" t="s" s="2">
        <v>25</v>
      </c>
    </row>
    <row r="24" ht="13.55" customHeight="1">
      <c r="A24" t="s" s="2">
        <v>68</v>
      </c>
      <c r="B24" t="str" s="4" cm="1">
        <f t="array" ref="B24">_xlfn.TEXTBEFORE(A24,"-")</f>
        <v>LCENIAGHLK</v>
      </c>
      <c r="C24" t="str" s="4" cm="1">
        <f t="array" ref="C24">_xlfn.TEXTBEFORE(_xlfn.TEXTAFTER(A24,"-"),"-")</f>
        <v>VLNEEQR</v>
      </c>
      <c r="D24" s="5" cm="1">
        <f t="array" ref="D24">VALUE(_xlfn.TEXTAFTER(_xlfn.TEXTBEFORE(_xlfn.TEXTAFTER(A24,"-",2),"-"),"a"))</f>
        <v>3</v>
      </c>
      <c r="E24" s="5" cm="1">
        <f t="array" ref="E24">VALUE(_xlfn.TEXTAFTER(_xlfn.TEXTAFTER(A24,"-",2),"b"))</f>
        <v>4</v>
      </c>
      <c r="F24" t="s" s="2">
        <v>23</v>
      </c>
      <c r="G24" t="str" s="4">
        <v>P00432</v>
      </c>
      <c r="H24" t="s" s="2">
        <v>23</v>
      </c>
      <c r="I24" t="str" s="4">
        <v>P00432</v>
      </c>
      <c r="J24" s="6">
        <v>460</v>
      </c>
      <c r="K24" s="6">
        <v>452</v>
      </c>
      <c r="L24" s="5">
        <v>2192.159</v>
      </c>
      <c r="M24" s="5">
        <v>549.047</v>
      </c>
      <c r="N24" s="5">
        <v>4</v>
      </c>
      <c r="O24" s="5">
        <v>4.7</v>
      </c>
      <c r="P24" s="5">
        <v>0.12</v>
      </c>
      <c r="Q24" s="5">
        <v>0.65</v>
      </c>
      <c r="R24" s="7">
        <v>24.04</v>
      </c>
      <c r="S24" s="8">
        <v>12.3</v>
      </c>
      <c r="T24" s="4"/>
      <c r="U24" t="s" s="2">
        <v>25</v>
      </c>
    </row>
    <row r="25" ht="13.55" customHeight="1">
      <c r="A25" t="s" s="2">
        <v>69</v>
      </c>
      <c r="B25" t="str" s="4" cm="1">
        <f t="array" ref="B25">_xlfn.TEXTBEFORE(A25,"-")</f>
        <v>LAHEDPDYGLR</v>
      </c>
      <c r="C25" t="str" s="4" cm="1">
        <f t="array" ref="C25">_xlfn.TEXTBEFORE(_xlfn.TEXTAFTER(A25,"-"),"-")</f>
        <v>RLCENIAGHLK</v>
      </c>
      <c r="D25" s="5" cm="1">
        <f t="array" ref="D25">VALUE(_xlfn.TEXTAFTER(_xlfn.TEXTBEFORE(_xlfn.TEXTAFTER(A25,"-",2),"-"),"a"))</f>
        <v>5</v>
      </c>
      <c r="E25" s="5" cm="1">
        <f t="array" ref="E25">VALUE(_xlfn.TEXTAFTER(_xlfn.TEXTAFTER(A25,"-",2),"b"))</f>
        <v>4</v>
      </c>
      <c r="F25" t="s" s="2">
        <v>23</v>
      </c>
      <c r="G25" t="str" s="4">
        <v>P00432</v>
      </c>
      <c r="H25" t="s" s="2">
        <v>23</v>
      </c>
      <c r="I25" t="str" s="4">
        <v>P00432</v>
      </c>
      <c r="J25" s="6">
        <v>256</v>
      </c>
      <c r="K25" s="6">
        <v>460</v>
      </c>
      <c r="L25" s="5">
        <v>2746.421</v>
      </c>
      <c r="M25" s="5">
        <v>458.745</v>
      </c>
      <c r="N25" s="5">
        <v>6</v>
      </c>
      <c r="O25" s="5">
        <v>4.3</v>
      </c>
      <c r="P25" s="5">
        <v>0.36</v>
      </c>
      <c r="Q25" s="5">
        <v>0.6</v>
      </c>
      <c r="R25" s="7">
        <v>23.64</v>
      </c>
      <c r="S25" s="8">
        <v>20</v>
      </c>
      <c r="T25" t="s" s="2">
        <v>37</v>
      </c>
      <c r="U25" t="s" s="2">
        <v>25</v>
      </c>
    </row>
    <row r="26" ht="13.55" customHeight="1">
      <c r="A26" t="s" s="2">
        <v>70</v>
      </c>
      <c r="B26" t="str" s="4" cm="1">
        <f t="array" ref="B26">_xlfn.TEXTBEFORE(A26,"-")</f>
        <v>LCENIAGHLK</v>
      </c>
      <c r="C26" t="str" s="4" cm="1">
        <f t="array" ref="C26">_xlfn.TEXTBEFORE(_xlfn.TEXTAFTER(A26,"-"),"-")</f>
        <v>YNEEKPK</v>
      </c>
      <c r="D26" s="5" cm="1">
        <f t="array" ref="D26">VALUE(_xlfn.TEXTAFTER(_xlfn.TEXTBEFORE(_xlfn.TEXTAFTER(A26,"-",2),"-"),"a"))</f>
        <v>3</v>
      </c>
      <c r="E26" s="5" cm="1">
        <f t="array" ref="E26">VALUE(_xlfn.TEXTAFTER(_xlfn.TEXTAFTER(A26,"-",2),"b"))</f>
        <v>4</v>
      </c>
      <c r="F26" t="s" s="2">
        <v>23</v>
      </c>
      <c r="G26" t="str" s="4">
        <v>P00432</v>
      </c>
      <c r="H26" t="s" s="2">
        <v>23</v>
      </c>
      <c r="I26" t="str" s="4">
        <v>P00432</v>
      </c>
      <c r="J26" s="6">
        <v>460</v>
      </c>
      <c r="K26" s="6">
        <v>502</v>
      </c>
      <c r="L26" s="5">
        <v>2212.149</v>
      </c>
      <c r="M26" s="5">
        <v>554.045</v>
      </c>
      <c r="N26" s="5">
        <v>4</v>
      </c>
      <c r="O26" s="5">
        <v>3.1</v>
      </c>
      <c r="P26" s="5">
        <v>0.24</v>
      </c>
      <c r="Q26" s="5">
        <v>0.64</v>
      </c>
      <c r="R26" s="7">
        <v>23.51</v>
      </c>
      <c r="S26" t="s" s="3">
        <v>51</v>
      </c>
      <c r="T26" s="4"/>
      <c r="U26" t="s" s="2">
        <v>25</v>
      </c>
    </row>
    <row r="27" ht="13.55" customHeight="1">
      <c r="A27" t="s" s="2">
        <v>71</v>
      </c>
      <c r="B27" t="str" s="4" cm="1">
        <f t="array" ref="B27">_xlfn.TEXTBEFORE(A27,"-")</f>
        <v>LAHEDPDYGLR</v>
      </c>
      <c r="C27" t="str" s="4" cm="1">
        <f t="array" ref="C27">_xlfn.TEXTBEFORE(_xlfn.TEXTAFTER(A27,"-"),"-")</f>
        <v>YNEEKPK</v>
      </c>
      <c r="D27" s="5" cm="1">
        <f t="array" ref="D27">VALUE(_xlfn.TEXTAFTER(_xlfn.TEXTBEFORE(_xlfn.TEXTAFTER(A27,"-",2),"-"),"a"))</f>
        <v>7</v>
      </c>
      <c r="E27" s="5" cm="1">
        <f t="array" ref="E27">VALUE(_xlfn.TEXTAFTER(_xlfn.TEXTAFTER(A27,"-",2),"b"))</f>
        <v>4</v>
      </c>
      <c r="F27" t="s" s="2">
        <v>23</v>
      </c>
      <c r="G27" t="str" s="4">
        <v>P00432</v>
      </c>
      <c r="H27" t="s" s="2">
        <v>23</v>
      </c>
      <c r="I27" t="str" s="4">
        <v>P00432</v>
      </c>
      <c r="J27" s="6">
        <v>258</v>
      </c>
      <c r="K27" s="6">
        <v>502</v>
      </c>
      <c r="L27" s="5">
        <v>2343.172</v>
      </c>
      <c r="M27" s="5">
        <v>782.0650000000001</v>
      </c>
      <c r="N27" s="5">
        <v>3</v>
      </c>
      <c r="O27" s="5">
        <v>5</v>
      </c>
      <c r="P27" s="5">
        <v>0.36</v>
      </c>
      <c r="Q27" s="5">
        <v>0.6</v>
      </c>
      <c r="R27" s="7">
        <v>23.09</v>
      </c>
      <c r="S27" t="s" s="3">
        <v>51</v>
      </c>
      <c r="T27" s="4"/>
      <c r="U27" t="s" s="2">
        <v>25</v>
      </c>
    </row>
    <row r="28" ht="13.55" customHeight="1">
      <c r="A28" t="s" s="2">
        <v>72</v>
      </c>
      <c r="B28" t="str" s="4" cm="1">
        <f t="array" ref="B28">_xlfn.TEXTBEFORE(A28,"-")</f>
        <v>LCENIAGHLK</v>
      </c>
      <c r="C28" t="str" s="4" cm="1">
        <f t="array" ref="C28">_xlfn.TEXTBEFORE(_xlfn.TEXTAFTER(A28,"-"),"-")</f>
        <v>VLNEEQR</v>
      </c>
      <c r="D28" s="5" cm="1">
        <f t="array" ref="D28">VALUE(_xlfn.TEXTAFTER(_xlfn.TEXTBEFORE(_xlfn.TEXTAFTER(A28,"-",2),"-"),"a"))</f>
        <v>3</v>
      </c>
      <c r="E28" s="5" cm="1">
        <f t="array" ref="E28">VALUE(_xlfn.TEXTAFTER(_xlfn.TEXTAFTER(A28,"-",2),"b"))</f>
        <v>5</v>
      </c>
      <c r="F28" t="s" s="2">
        <v>23</v>
      </c>
      <c r="G28" t="str" s="4">
        <v>P00432</v>
      </c>
      <c r="H28" t="s" s="2">
        <v>23</v>
      </c>
      <c r="I28" t="str" s="4">
        <v>P00432</v>
      </c>
      <c r="J28" s="6">
        <v>460</v>
      </c>
      <c r="K28" s="6">
        <v>453</v>
      </c>
      <c r="L28" s="5">
        <v>2192.157</v>
      </c>
      <c r="M28" s="5">
        <v>439.439</v>
      </c>
      <c r="N28" s="5">
        <v>5</v>
      </c>
      <c r="O28" s="5">
        <v>3.8</v>
      </c>
      <c r="P28" s="5">
        <v>0.12</v>
      </c>
      <c r="Q28" s="5">
        <v>0.55</v>
      </c>
      <c r="R28" s="7">
        <v>22.41</v>
      </c>
      <c r="S28" s="8">
        <v>11</v>
      </c>
      <c r="T28" s="4"/>
      <c r="U28" t="s" s="2">
        <v>25</v>
      </c>
    </row>
    <row r="29" ht="13.55" customHeight="1">
      <c r="A29" t="s" s="2">
        <v>73</v>
      </c>
      <c r="B29" t="str" s="4" cm="1">
        <f t="array" ref="B29">_xlfn.TEXTBEFORE(A29,"-")</f>
        <v>LVNANGEAVYCK</v>
      </c>
      <c r="C29" t="str" s="4" cm="1">
        <f t="array" ref="C29">_xlfn.TEXTBEFORE(_xlfn.TEXTAFTER(A29,"-"),"-")</f>
        <v>THFSGDVQR</v>
      </c>
      <c r="D29" s="5" cm="1">
        <f t="array" ref="D29">VALUE(_xlfn.TEXTAFTER(_xlfn.TEXTBEFORE(_xlfn.TEXTAFTER(A29,"-",2),"-"),"a"))</f>
        <v>7</v>
      </c>
      <c r="E29" s="5" cm="1">
        <f t="array" ref="E29">VALUE(_xlfn.TEXTAFTER(_xlfn.TEXTAFTER(A29,"-",2),"b"))</f>
        <v>6</v>
      </c>
      <c r="F29" t="s" s="2">
        <v>23</v>
      </c>
      <c r="G29" t="str" s="4">
        <v>P00432</v>
      </c>
      <c r="H29" t="s" s="2">
        <v>23</v>
      </c>
      <c r="I29" t="str" s="4">
        <v>P00432</v>
      </c>
      <c r="J29" s="6">
        <v>227</v>
      </c>
      <c r="K29" s="6">
        <v>427</v>
      </c>
      <c r="L29" s="5">
        <v>2534.252</v>
      </c>
      <c r="M29" s="5">
        <v>507.858</v>
      </c>
      <c r="N29" s="5">
        <v>5</v>
      </c>
      <c r="O29" s="5">
        <v>3</v>
      </c>
      <c r="P29" s="5">
        <v>0.21</v>
      </c>
      <c r="Q29" s="5">
        <v>0.65</v>
      </c>
      <c r="R29" s="7">
        <v>22.06</v>
      </c>
      <c r="S29" s="8">
        <v>15.5</v>
      </c>
      <c r="T29" t="s" s="2">
        <v>37</v>
      </c>
      <c r="U29" t="s" s="2">
        <v>25</v>
      </c>
    </row>
    <row r="30" ht="13.55" customHeight="1">
      <c r="A30" t="s" s="2">
        <v>76</v>
      </c>
      <c r="B30" t="str" s="4" cm="1">
        <f t="array" ref="B30">_xlfn.TEXTBEFORE(A30,"-")</f>
        <v>LAHEDPDYGLR</v>
      </c>
      <c r="C30" t="str" s="4" cm="1">
        <f t="array" ref="C30">_xlfn.TEXTBEFORE(_xlfn.TEXTAFTER(A30,"-"),"-")</f>
        <v>DPASDQMK</v>
      </c>
      <c r="D30" s="5" cm="1">
        <f t="array" ref="D30">VALUE(_xlfn.TEXTAFTER(_xlfn.TEXTBEFORE(_xlfn.TEXTAFTER(A30,"-",2),"-"),"a"))</f>
        <v>4</v>
      </c>
      <c r="E30" s="5" cm="1">
        <f t="array" ref="E30">VALUE(_xlfn.TEXTAFTER(_xlfn.TEXTAFTER(A30,"-",2),"b"))</f>
        <v>1</v>
      </c>
      <c r="F30" t="s" s="2">
        <v>23</v>
      </c>
      <c r="G30" t="str" s="4">
        <v>P00432</v>
      </c>
      <c r="H30" t="s" s="2">
        <v>23</v>
      </c>
      <c r="I30" t="str" s="4">
        <v>P00432</v>
      </c>
      <c r="J30" s="6">
        <v>255</v>
      </c>
      <c r="K30" s="6">
        <v>5</v>
      </c>
      <c r="L30" s="5">
        <v>2327.106</v>
      </c>
      <c r="M30" s="5">
        <v>582.784</v>
      </c>
      <c r="N30" s="5">
        <v>4</v>
      </c>
      <c r="O30" s="5">
        <v>4</v>
      </c>
      <c r="P30" s="5">
        <v>0.21</v>
      </c>
      <c r="Q30" s="5">
        <v>0.47</v>
      </c>
      <c r="R30" s="7">
        <v>21.37</v>
      </c>
      <c r="S30" s="8">
        <v>16.4</v>
      </c>
      <c r="T30" s="4"/>
      <c r="U30" t="s" s="2">
        <v>25</v>
      </c>
    </row>
    <row r="31" ht="13.55" customHeight="1">
      <c r="A31" t="s" s="2">
        <v>77</v>
      </c>
      <c r="B31" t="str" s="4" cm="1">
        <f t="array" ref="B31">_xlfn.TEXTBEFORE(A31,"-")</f>
        <v>LAHEDPDYGLR</v>
      </c>
      <c r="C31" t="str" s="4" cm="1">
        <f t="array" ref="C31">_xlfn.TEXTBEFORE(_xlfn.TEXTAFTER(A31,"-"),"-")</f>
        <v>RLCENIAGHLK</v>
      </c>
      <c r="D31" s="5" cm="1">
        <f t="array" ref="D31">VALUE(_xlfn.TEXTAFTER(_xlfn.TEXTBEFORE(_xlfn.TEXTAFTER(A31,"-",2),"-"),"a"))</f>
        <v>7</v>
      </c>
      <c r="E31" s="5" cm="1">
        <f t="array" ref="E31">VALUE(_xlfn.TEXTAFTER(_xlfn.TEXTAFTER(A31,"-",2),"b"))</f>
        <v>4</v>
      </c>
      <c r="F31" t="s" s="2">
        <v>23</v>
      </c>
      <c r="G31" t="str" s="4">
        <v>P00432</v>
      </c>
      <c r="H31" t="s" s="2">
        <v>23</v>
      </c>
      <c r="I31" t="str" s="4">
        <v>P00432</v>
      </c>
      <c r="J31" s="6">
        <v>258</v>
      </c>
      <c r="K31" s="6">
        <v>460</v>
      </c>
      <c r="L31" s="5">
        <v>2746.416</v>
      </c>
      <c r="M31" s="5">
        <v>458.744</v>
      </c>
      <c r="N31" s="5">
        <v>6</v>
      </c>
      <c r="O31" s="5">
        <v>2.6</v>
      </c>
      <c r="P31" s="5">
        <v>0.19</v>
      </c>
      <c r="Q31" s="5">
        <v>0.83</v>
      </c>
      <c r="R31" s="7">
        <v>18.71</v>
      </c>
      <c r="S31" s="8">
        <v>24.1</v>
      </c>
      <c r="T31" t="s" s="2">
        <v>37</v>
      </c>
      <c r="U31" t="s" s="2">
        <v>25</v>
      </c>
    </row>
    <row r="32" ht="13.55" customHeight="1">
      <c r="A32" t="s" s="2">
        <v>78</v>
      </c>
      <c r="B32" t="str" s="4" cm="1">
        <f t="array" ref="B32">_xlfn.TEXTBEFORE(A32,"-")</f>
        <v>DGPMCMMDNQGGAPNYYPNSFSAPEHQPSALEHR</v>
      </c>
      <c r="C32" t="str" s="4" cm="1">
        <f t="array" ref="C32">_xlfn.TEXTBEFORE(_xlfn.TEXTAFTER(A32,"-"),"-")</f>
        <v>AAQKPDVLTTGGGNPVGDK</v>
      </c>
      <c r="D32" s="5" cm="1">
        <f t="array" ref="D32">VALUE(_xlfn.TEXTAFTER(_xlfn.TEXTBEFORE(_xlfn.TEXTAFTER(A32,"-",2),"-"),"a"))</f>
        <v>8</v>
      </c>
      <c r="E32" s="5" cm="1">
        <f t="array" ref="E32">VALUE(_xlfn.TEXTAFTER(_xlfn.TEXTAFTER(A32,"-",2),"b"))</f>
        <v>6</v>
      </c>
      <c r="F32" t="s" s="2">
        <v>23</v>
      </c>
      <c r="G32" t="str" s="4">
        <v>P00432</v>
      </c>
      <c r="H32" t="s" s="2">
        <v>23</v>
      </c>
      <c r="I32" t="str" s="4">
        <v>P00432</v>
      </c>
      <c r="J32" s="6">
        <v>395</v>
      </c>
      <c r="K32" s="6">
        <v>24</v>
      </c>
      <c r="L32" s="5">
        <v>5780.638</v>
      </c>
      <c r="M32" s="5">
        <v>964.447</v>
      </c>
      <c r="N32" s="5">
        <v>6</v>
      </c>
      <c r="O32" s="5">
        <v>2.1</v>
      </c>
      <c r="P32" s="5">
        <v>0.14</v>
      </c>
      <c r="Q32" s="5">
        <v>0.37</v>
      </c>
      <c r="R32" s="7">
        <v>17.09</v>
      </c>
      <c r="S32" s="8">
        <v>16.1</v>
      </c>
      <c r="T32" t="s" s="2">
        <v>37</v>
      </c>
      <c r="U32" t="s" s="2">
        <v>25</v>
      </c>
    </row>
    <row r="33" ht="13.55" customHeight="1">
      <c r="A33" t="s" s="2">
        <v>81</v>
      </c>
      <c r="B33" t="str" s="4" cm="1">
        <f t="array" ref="B33">_xlfn.TEXTBEFORE(A33,"-")</f>
        <v>LCENIAGHLK</v>
      </c>
      <c r="C33" t="str" s="4" cm="1">
        <f t="array" ref="C33">_xlfn.TEXTBEFORE(_xlfn.TEXTAFTER(A33,"-"),"-")</f>
        <v>VLNEEQRKR</v>
      </c>
      <c r="D33" s="5" cm="1">
        <f t="array" ref="D33">VALUE(_xlfn.TEXTAFTER(_xlfn.TEXTBEFORE(_xlfn.TEXTAFTER(A33,"-",2),"-"),"a"))</f>
        <v>3</v>
      </c>
      <c r="E33" s="5" cm="1">
        <f t="array" ref="E33">VALUE(_xlfn.TEXTAFTER(_xlfn.TEXTAFTER(A33,"-",2),"b"))</f>
        <v>4</v>
      </c>
      <c r="F33" t="s" s="2">
        <v>23</v>
      </c>
      <c r="G33" t="str" s="4">
        <v>P00432</v>
      </c>
      <c r="H33" t="s" s="2">
        <v>23</v>
      </c>
      <c r="I33" t="str" s="4">
        <v>P00432</v>
      </c>
      <c r="J33" s="6">
        <v>460</v>
      </c>
      <c r="K33" s="6">
        <v>452</v>
      </c>
      <c r="L33" s="5">
        <v>2476.354</v>
      </c>
      <c r="M33" s="5">
        <v>496.279</v>
      </c>
      <c r="N33" s="5">
        <v>5</v>
      </c>
      <c r="O33" s="5">
        <v>3.7</v>
      </c>
      <c r="P33" s="5">
        <v>0.15</v>
      </c>
      <c r="Q33" s="5">
        <v>0.91</v>
      </c>
      <c r="R33" s="7">
        <v>16.9</v>
      </c>
      <c r="S33" s="8">
        <v>12.3</v>
      </c>
      <c r="T33" s="4"/>
      <c r="U33" t="s" s="2">
        <v>25</v>
      </c>
    </row>
    <row r="34" ht="13.55" customHeight="1">
      <c r="A34" t="s" s="2">
        <v>83</v>
      </c>
      <c r="B34" t="str" s="4" cm="1">
        <f t="array" ref="B34">_xlfn.TEXTBEFORE(A34,"-")</f>
        <v>LSVEALNSLTGEFK</v>
      </c>
      <c r="C34" t="str" s="4" cm="1">
        <f t="array" ref="C34">_xlfn.TEXTBEFORE(_xlfn.TEXTAFTER(A34,"-"),"-")</f>
        <v>SEEEYPDLSK</v>
      </c>
      <c r="D34" s="5" cm="1">
        <f t="array" ref="D34">VALUE(_xlfn.TEXTAFTER(_xlfn.TEXTBEFORE(_xlfn.TEXTAFTER(A34,"-",2),"-"),"a"))</f>
        <v>4</v>
      </c>
      <c r="E34" s="5" cm="1">
        <f t="array" ref="E34">VALUE(_xlfn.TEXTAFTER(_xlfn.TEXTAFTER(A34,"-",2),"b"))</f>
        <v>3</v>
      </c>
      <c r="F34" t="s" s="2">
        <v>86</v>
      </c>
      <c r="G34" t="str" s="4">
        <v>P00563</v>
      </c>
      <c r="H34" t="s" s="2">
        <v>86</v>
      </c>
      <c r="I34" t="str" s="4">
        <v>P00563</v>
      </c>
      <c r="J34" s="6">
        <v>160</v>
      </c>
      <c r="K34" s="6">
        <v>18</v>
      </c>
      <c r="L34" s="5">
        <v>2854.436</v>
      </c>
      <c r="M34" s="5">
        <v>714.617</v>
      </c>
      <c r="N34" s="5">
        <v>4</v>
      </c>
      <c r="O34" s="5">
        <v>4.2</v>
      </c>
      <c r="P34" s="5">
        <v>0.26</v>
      </c>
      <c r="Q34" s="5">
        <v>0.59</v>
      </c>
      <c r="R34" s="7">
        <v>18.91</v>
      </c>
      <c r="S34" s="8">
        <v>17.2</v>
      </c>
      <c r="T34" t="s" s="2">
        <v>88</v>
      </c>
      <c r="U34" t="s" s="2">
        <v>25</v>
      </c>
    </row>
    <row r="35" ht="13.55" customHeight="1">
      <c r="A35" t="s" s="2">
        <v>89</v>
      </c>
      <c r="B35" t="str" s="4" cm="1">
        <f t="array" ref="B35">_xlfn.TEXTBEFORE(A35,"-")</f>
        <v>PHSHPALTPEQK</v>
      </c>
      <c r="C35" t="str" s="4" cm="1">
        <f t="array" ref="C35">_xlfn.TEXTBEFORE(_xlfn.TEXTAFTER(A35,"-"),"-")</f>
        <v>ELSDIAHR</v>
      </c>
      <c r="D35" s="5" cm="1">
        <f t="array" ref="D35">VALUE(_xlfn.TEXTAFTER(_xlfn.TEXTBEFORE(_xlfn.TEXTAFTER(A35,"-",2),"-"),"a"))</f>
        <v>10</v>
      </c>
      <c r="E35" s="5" cm="1">
        <f t="array" ref="E35">VALUE(_xlfn.TEXTAFTER(_xlfn.TEXTAFTER(A35,"-",2),"b"))</f>
        <v>1</v>
      </c>
      <c r="F35" t="s" s="2">
        <v>92</v>
      </c>
      <c r="G35" t="str" s="4">
        <v>P00883</v>
      </c>
      <c r="H35" t="s" s="2">
        <v>92</v>
      </c>
      <c r="I35" t="str" s="4">
        <v>P00883</v>
      </c>
      <c r="J35" s="6">
        <v>10</v>
      </c>
      <c r="K35" s="6">
        <v>14</v>
      </c>
      <c r="L35" s="5">
        <v>2432.276</v>
      </c>
      <c r="M35" s="5">
        <v>487.463</v>
      </c>
      <c r="N35" s="5">
        <v>5</v>
      </c>
      <c r="O35" s="5">
        <v>3.6</v>
      </c>
      <c r="P35" s="5">
        <v>0.1</v>
      </c>
      <c r="Q35" s="5">
        <v>0.63</v>
      </c>
      <c r="R35" s="7">
        <v>18.23</v>
      </c>
      <c r="S35" s="8">
        <v>6.3</v>
      </c>
      <c r="T35" s="4"/>
      <c r="U35" t="s" s="2">
        <v>25</v>
      </c>
    </row>
    <row r="36" ht="13.55" customHeight="1">
      <c r="A36" t="s" s="2">
        <v>94</v>
      </c>
      <c r="B36" t="str" s="4" cm="1">
        <f t="array" ref="B36">_xlfn.TEXTBEFORE(A36,"-")</f>
        <v>YICDNQDTISSK</v>
      </c>
      <c r="C36" t="str" s="4" cm="1">
        <f t="array" ref="C36">_xlfn.TEXTBEFORE(_xlfn.TEXTAFTER(A36,"-"),"-")</f>
        <v>ECCDKPLLEK</v>
      </c>
      <c r="D36" s="5" cm="1">
        <f t="array" ref="D36">VALUE(_xlfn.TEXTAFTER(_xlfn.TEXTBEFORE(_xlfn.TEXTAFTER(A36,"-",2),"-"),"a"))</f>
        <v>7</v>
      </c>
      <c r="E36" s="5" cm="1">
        <f t="array" ref="E36">VALUE(_xlfn.TEXTAFTER(_xlfn.TEXTAFTER(A36,"-",2),"b"))</f>
        <v>4</v>
      </c>
      <c r="F36" t="s" s="2">
        <v>97</v>
      </c>
      <c r="G36" t="str" s="4">
        <v>P02769</v>
      </c>
      <c r="H36" t="s" s="2">
        <v>97</v>
      </c>
      <c r="I36" t="str" s="4">
        <v>P02769</v>
      </c>
      <c r="J36" s="6">
        <v>268</v>
      </c>
      <c r="K36" s="6">
        <v>279</v>
      </c>
      <c r="L36" s="5">
        <v>2885.354</v>
      </c>
      <c r="M36" s="5">
        <v>722.346</v>
      </c>
      <c r="N36" s="5">
        <v>4</v>
      </c>
      <c r="O36" s="5">
        <v>6.3</v>
      </c>
      <c r="P36" s="5">
        <v>0.49</v>
      </c>
      <c r="Q36" s="5">
        <v>0.41</v>
      </c>
      <c r="R36" s="7">
        <v>28.47</v>
      </c>
      <c r="S36" s="10">
        <v>15</v>
      </c>
      <c r="T36" s="4"/>
      <c r="U36" t="s" s="2">
        <v>25</v>
      </c>
    </row>
    <row r="37" ht="13.55" customHeight="1">
      <c r="A37" t="s" s="2">
        <v>99</v>
      </c>
      <c r="B37" t="str" s="4" cm="1">
        <f t="array" ref="B37">_xlfn.TEXTBEFORE(A37,"-")</f>
        <v>AEFVEVTK</v>
      </c>
      <c r="C37" t="str" s="4" cm="1">
        <f t="array" ref="C37">_xlfn.TEXTBEFORE(_xlfn.TEXTAFTER(A37,"-"),"-")</f>
        <v>LVTDLTK</v>
      </c>
      <c r="D37" s="5" cm="1">
        <f t="array" ref="D37">VALUE(_xlfn.TEXTAFTER(_xlfn.TEXTBEFORE(_xlfn.TEXTAFTER(A37,"-",2),"-"),"a"))</f>
        <v>5</v>
      </c>
      <c r="E37" s="5" cm="1">
        <f t="array" ref="E37">VALUE(_xlfn.TEXTAFTER(_xlfn.TEXTAFTER(A37,"-",2),"b"))</f>
        <v>4</v>
      </c>
      <c r="F37" t="s" s="2">
        <v>97</v>
      </c>
      <c r="G37" t="str" s="4">
        <v>P02769</v>
      </c>
      <c r="H37" t="s" s="2">
        <v>97</v>
      </c>
      <c r="I37" t="str" s="4">
        <v>P02769</v>
      </c>
      <c r="J37" s="6">
        <v>229</v>
      </c>
      <c r="K37" s="6">
        <v>236</v>
      </c>
      <c r="L37" s="5">
        <v>1862.051</v>
      </c>
      <c r="M37" s="5">
        <v>466.521</v>
      </c>
      <c r="N37" s="5">
        <v>4</v>
      </c>
      <c r="O37" s="5">
        <v>-0.1</v>
      </c>
      <c r="P37" s="5">
        <v>0.42</v>
      </c>
      <c r="Q37" s="5">
        <v>0.46</v>
      </c>
      <c r="R37" s="7">
        <v>27.94</v>
      </c>
      <c r="S37" s="10">
        <v>10.9</v>
      </c>
      <c r="T37" s="4"/>
      <c r="U37" t="s" s="2">
        <v>25</v>
      </c>
    </row>
    <row r="38" ht="13.55" customHeight="1">
      <c r="A38" t="s" s="2">
        <v>102</v>
      </c>
      <c r="B38" t="str" s="4" cm="1">
        <f t="array" ref="B38">_xlfn.TEXTBEFORE(A38,"-")</f>
        <v>LVTDLTK</v>
      </c>
      <c r="C38" t="str" s="4" cm="1">
        <f t="array" ref="C38">_xlfn.TEXTBEFORE(_xlfn.TEXTAFTER(A38,"-"),"-")</f>
        <v>SEIAHR</v>
      </c>
      <c r="D38" s="5" cm="1">
        <f t="array" ref="D38">VALUE(_xlfn.TEXTAFTER(_xlfn.TEXTBEFORE(_xlfn.TEXTAFTER(A38,"-",2),"-"),"a"))</f>
        <v>4</v>
      </c>
      <c r="E38" s="5" cm="1">
        <f t="array" ref="E38">VALUE(_xlfn.TEXTAFTER(_xlfn.TEXTAFTER(A38,"-",2),"b"))</f>
        <v>2</v>
      </c>
      <c r="F38" t="s" s="2">
        <v>97</v>
      </c>
      <c r="G38" t="str" s="4">
        <v>P02769</v>
      </c>
      <c r="H38" t="s" s="2">
        <v>97</v>
      </c>
      <c r="I38" t="str" s="4">
        <v>P02769</v>
      </c>
      <c r="J38" s="6">
        <v>236</v>
      </c>
      <c r="K38" s="6">
        <v>6</v>
      </c>
      <c r="L38" s="5">
        <v>1651.943</v>
      </c>
      <c r="M38" s="5">
        <v>413.994</v>
      </c>
      <c r="N38" s="5">
        <v>4</v>
      </c>
      <c r="O38" s="5">
        <v>3.9</v>
      </c>
      <c r="P38" s="5">
        <v>0.61</v>
      </c>
      <c r="Q38" s="5">
        <v>0</v>
      </c>
      <c r="R38" s="7">
        <v>27.71</v>
      </c>
      <c r="S38" s="10">
        <v>19.5</v>
      </c>
      <c r="T38" s="4"/>
      <c r="U38" t="s" s="2">
        <v>25</v>
      </c>
    </row>
    <row r="39" ht="13.55" customHeight="1">
      <c r="A39" t="s" s="2">
        <v>104</v>
      </c>
      <c r="B39" t="str" s="4" cm="1">
        <f t="array" ref="B39">_xlfn.TEXTBEFORE(A39,"-")</f>
        <v>SLHTLFGDELCK</v>
      </c>
      <c r="C39" t="str" s="4" cm="1">
        <f t="array" ref="C39">_xlfn.TEXTBEFORE(_xlfn.TEXTAFTER(A39,"-"),"-")</f>
        <v>LVNELTEFAK</v>
      </c>
      <c r="D39" s="5" cm="1">
        <f t="array" ref="D39">VALUE(_xlfn.TEXTAFTER(_xlfn.TEXTBEFORE(_xlfn.TEXTAFTER(A39,"-",2),"-"),"a"))</f>
        <v>9</v>
      </c>
      <c r="E39" s="5" cm="1">
        <f t="array" ref="E39">VALUE(_xlfn.TEXTAFTER(_xlfn.TEXTAFTER(A39,"-",2),"b"))</f>
        <v>4</v>
      </c>
      <c r="F39" t="s" s="2">
        <v>97</v>
      </c>
      <c r="G39" t="str" s="4">
        <v>P02769</v>
      </c>
      <c r="H39" t="s" s="2">
        <v>97</v>
      </c>
      <c r="I39" t="str" s="4">
        <v>P02769</v>
      </c>
      <c r="J39" s="6">
        <v>73</v>
      </c>
      <c r="K39" s="6">
        <v>45</v>
      </c>
      <c r="L39" s="5">
        <v>2733.425</v>
      </c>
      <c r="M39" s="5">
        <v>912.15</v>
      </c>
      <c r="N39" s="5">
        <v>3</v>
      </c>
      <c r="O39" s="5">
        <v>3.4</v>
      </c>
      <c r="P39" s="5">
        <v>0.42</v>
      </c>
      <c r="Q39" s="5">
        <v>0.49</v>
      </c>
      <c r="R39" s="7">
        <v>27.32</v>
      </c>
      <c r="S39" s="10">
        <v>9.300000000000001</v>
      </c>
      <c r="T39" s="4"/>
      <c r="U39" t="s" s="2">
        <v>25</v>
      </c>
    </row>
    <row r="40" ht="13.55" customHeight="1">
      <c r="A40" t="s" s="2">
        <v>107</v>
      </c>
      <c r="B40" t="str" s="4" cm="1">
        <f t="array" ref="B40">_xlfn.TEXTBEFORE(A40,"-")</f>
        <v>TVMENFVAFVDK</v>
      </c>
      <c r="C40" t="str" s="4" cm="1">
        <f t="array" ref="C40">_xlfn.TEXTBEFORE(_xlfn.TEXTAFTER(A40,"-"),"-")</f>
        <v>ATEEQLK</v>
      </c>
      <c r="D40" s="5" cm="1">
        <f t="array" ref="D40">VALUE(_xlfn.TEXTAFTER(_xlfn.TEXTBEFORE(_xlfn.TEXTAFTER(A40,"-",2),"-"),"a"))</f>
        <v>4</v>
      </c>
      <c r="E40" s="5" cm="1">
        <f t="array" ref="E40">VALUE(_xlfn.TEXTAFTER(_xlfn.TEXTAFTER(A40,"-",2),"b"))</f>
        <v>3</v>
      </c>
      <c r="F40" t="s" s="2">
        <v>97</v>
      </c>
      <c r="G40" t="str" s="4">
        <v>P02769</v>
      </c>
      <c r="H40" t="s" s="2">
        <v>97</v>
      </c>
      <c r="I40" t="str" s="4">
        <v>P02769</v>
      </c>
      <c r="J40" s="6">
        <v>548</v>
      </c>
      <c r="K40" s="6">
        <v>540</v>
      </c>
      <c r="L40" s="5">
        <v>2368.213</v>
      </c>
      <c r="M40" s="5">
        <v>593.061</v>
      </c>
      <c r="N40" s="5">
        <v>4</v>
      </c>
      <c r="O40" s="5">
        <v>1.3</v>
      </c>
      <c r="P40" s="5">
        <v>0.29</v>
      </c>
      <c r="Q40" s="5">
        <v>0.87</v>
      </c>
      <c r="R40" s="7">
        <v>26.65</v>
      </c>
      <c r="S40" s="10">
        <v>12.4</v>
      </c>
      <c r="T40" s="4"/>
      <c r="U40" t="s" s="2">
        <v>25</v>
      </c>
    </row>
    <row r="41" ht="13.55" customHeight="1">
      <c r="A41" t="s" s="2">
        <v>110</v>
      </c>
      <c r="B41" t="str" s="4" cm="1">
        <f t="array" ref="B41">_xlfn.TEXTBEFORE(A41,"-")</f>
        <v>YICDNQDTISSK</v>
      </c>
      <c r="C41" t="str" s="4" cm="1">
        <f t="array" ref="C41">_xlfn.TEXTBEFORE(_xlfn.TEXTAFTER(A41,"-"),"-")</f>
        <v>AEFVEVTK</v>
      </c>
      <c r="D41" s="5" cm="1">
        <f t="array" ref="D41">VALUE(_xlfn.TEXTAFTER(_xlfn.TEXTBEFORE(_xlfn.TEXTAFTER(A41,"-",2),"-"),"a"))</f>
        <v>7</v>
      </c>
      <c r="E41" s="5" cm="1">
        <f t="array" ref="E41">VALUE(_xlfn.TEXTAFTER(_xlfn.TEXTAFTER(A41,"-",2),"b"))</f>
        <v>2</v>
      </c>
      <c r="F41" t="s" s="2">
        <v>97</v>
      </c>
      <c r="G41" t="str" s="4">
        <v>P02769</v>
      </c>
      <c r="H41" t="s" s="2">
        <v>97</v>
      </c>
      <c r="I41" t="str" s="4">
        <v>P02769</v>
      </c>
      <c r="J41" s="6">
        <v>268</v>
      </c>
      <c r="K41" s="6">
        <v>226</v>
      </c>
      <c r="L41" s="5">
        <v>2516.237</v>
      </c>
      <c r="M41" s="5">
        <v>839.753</v>
      </c>
      <c r="N41" s="5">
        <v>3</v>
      </c>
      <c r="O41" s="5">
        <v>5.9</v>
      </c>
      <c r="P41" s="5">
        <v>0.18</v>
      </c>
      <c r="Q41" s="5">
        <v>0.53</v>
      </c>
      <c r="R41" s="7">
        <v>25.54</v>
      </c>
      <c r="S41" s="10">
        <v>11.5</v>
      </c>
      <c r="T41" s="4"/>
      <c r="U41" t="s" s="2">
        <v>25</v>
      </c>
    </row>
    <row r="42" ht="13.55" customHeight="1">
      <c r="A42" t="s" s="2">
        <v>111</v>
      </c>
      <c r="B42" t="str" s="4" cm="1">
        <f t="array" ref="B42">_xlfn.TEXTBEFORE(A42,"-")</f>
        <v>SLHTLFGDELCK</v>
      </c>
      <c r="C42" t="str" s="4" cm="1">
        <f t="array" ref="C42">_xlfn.TEXTBEFORE(_xlfn.TEXTAFTER(A42,"-"),"-")</f>
        <v>LVNELTEFAK</v>
      </c>
      <c r="D42" s="5" cm="1">
        <f t="array" ref="D42">VALUE(_xlfn.TEXTAFTER(_xlfn.TEXTBEFORE(_xlfn.TEXTAFTER(A42,"-",2),"-"),"a"))</f>
        <v>9</v>
      </c>
      <c r="E42" s="5" cm="1">
        <f t="array" ref="E42">VALUE(_xlfn.TEXTAFTER(_xlfn.TEXTAFTER(A42,"-",2),"b"))</f>
        <v>7</v>
      </c>
      <c r="F42" t="s" s="2">
        <v>97</v>
      </c>
      <c r="G42" t="str" s="4">
        <v>P02769</v>
      </c>
      <c r="H42" t="s" s="2">
        <v>97</v>
      </c>
      <c r="I42" t="str" s="4">
        <v>P02769</v>
      </c>
      <c r="J42" s="6">
        <v>73</v>
      </c>
      <c r="K42" s="6">
        <v>48</v>
      </c>
      <c r="L42" s="5">
        <v>2733.428</v>
      </c>
      <c r="M42" s="5">
        <v>547.693</v>
      </c>
      <c r="N42" s="5">
        <v>5</v>
      </c>
      <c r="O42" s="5">
        <v>4.5</v>
      </c>
      <c r="P42" s="5">
        <v>0.2</v>
      </c>
      <c r="Q42" s="5">
        <v>0.6</v>
      </c>
      <c r="R42" s="7">
        <v>25.18</v>
      </c>
      <c r="S42" s="10">
        <v>13.3</v>
      </c>
      <c r="T42" s="4"/>
      <c r="U42" t="s" s="2">
        <v>25</v>
      </c>
    </row>
    <row r="43" ht="13.55" customHeight="1">
      <c r="A43" t="s" s="2">
        <v>112</v>
      </c>
      <c r="B43" t="str" s="4" cm="1">
        <f t="array" ref="B43">_xlfn.TEXTBEFORE(A43,"-")</f>
        <v>LCVLHEK</v>
      </c>
      <c r="C43" t="str" s="4" cm="1">
        <f t="array" ref="C43">_xlfn.TEXTBEFORE(_xlfn.TEXTAFTER(A43,"-"),"-")</f>
        <v>TPVSEK</v>
      </c>
      <c r="D43" s="5" cm="1">
        <f t="array" ref="D43">VALUE(_xlfn.TEXTAFTER(_xlfn.TEXTBEFORE(_xlfn.TEXTAFTER(A43,"-",2),"-"),"a"))</f>
        <v>6</v>
      </c>
      <c r="E43" s="5" cm="1">
        <f t="array" ref="E43">VALUE(_xlfn.TEXTAFTER(_xlfn.TEXTAFTER(A43,"-",2),"b"))</f>
        <v>5</v>
      </c>
      <c r="F43" t="s" s="2">
        <v>97</v>
      </c>
      <c r="G43" t="str" s="4">
        <v>P02769</v>
      </c>
      <c r="H43" t="s" s="2">
        <v>97</v>
      </c>
      <c r="I43" t="str" s="4">
        <v>P02769</v>
      </c>
      <c r="J43" s="6">
        <v>464</v>
      </c>
      <c r="K43" s="6">
        <v>470</v>
      </c>
      <c r="L43" s="5">
        <v>1708.938</v>
      </c>
      <c r="M43" s="5">
        <v>570.654</v>
      </c>
      <c r="N43" s="5">
        <v>3</v>
      </c>
      <c r="O43" s="5">
        <v>4.9</v>
      </c>
      <c r="P43" s="5">
        <v>0.21</v>
      </c>
      <c r="Q43" s="5">
        <v>0.79</v>
      </c>
      <c r="R43" s="7">
        <v>24.81</v>
      </c>
      <c r="S43" s="10">
        <v>10.7</v>
      </c>
      <c r="T43" s="4"/>
      <c r="U43" t="s" s="2">
        <v>25</v>
      </c>
    </row>
    <row r="44" ht="13.55" customHeight="1">
      <c r="A44" t="s" s="2">
        <v>115</v>
      </c>
      <c r="B44" t="str" s="4" cm="1">
        <f t="array" ref="B44">_xlfn.TEXTBEFORE(A44,"-")</f>
        <v>VPQVSTPTLVEVSR</v>
      </c>
      <c r="C44" t="str" s="4" cm="1">
        <f t="array" ref="C44">_xlfn.TEXTBEFORE(_xlfn.TEXTAFTER(A44,"-"),"-")</f>
        <v>DDSPDLPK</v>
      </c>
      <c r="D44" s="5" cm="1">
        <f t="array" ref="D44">VALUE(_xlfn.TEXTAFTER(_xlfn.TEXTBEFORE(_xlfn.TEXTAFTER(A44,"-",2),"-"),"a"))</f>
        <v>11</v>
      </c>
      <c r="E44" s="5" cm="1">
        <f t="array" ref="E44">VALUE(_xlfn.TEXTAFTER(_xlfn.TEXTAFTER(A44,"-",2),"b"))</f>
        <v>5</v>
      </c>
      <c r="F44" t="s" s="2">
        <v>97</v>
      </c>
      <c r="G44" t="str" s="4">
        <v>P02769</v>
      </c>
      <c r="H44" t="s" s="2">
        <v>97</v>
      </c>
      <c r="I44" t="str" s="4">
        <v>P02769</v>
      </c>
      <c r="J44" s="6">
        <v>424</v>
      </c>
      <c r="K44" s="6">
        <v>111</v>
      </c>
      <c r="L44" s="5">
        <v>2548.363</v>
      </c>
      <c r="M44" s="5">
        <v>638.099</v>
      </c>
      <c r="N44" s="5">
        <v>4</v>
      </c>
      <c r="O44" s="5">
        <v>5.1</v>
      </c>
      <c r="P44" s="5">
        <v>0.15</v>
      </c>
      <c r="Q44" s="5">
        <v>0.52</v>
      </c>
      <c r="R44" s="7">
        <v>24.8</v>
      </c>
      <c r="S44" s="10">
        <v>13.3</v>
      </c>
      <c r="T44" s="4"/>
      <c r="U44" t="s" s="2">
        <v>25</v>
      </c>
    </row>
    <row r="45" ht="13.55" customHeight="1">
      <c r="A45" t="s" s="2">
        <v>118</v>
      </c>
      <c r="B45" t="str" s="4" cm="1">
        <f t="array" ref="B45">_xlfn.TEXTBEFORE(A45,"-")</f>
        <v>QNCDQFEK</v>
      </c>
      <c r="C45" t="str" s="4" cm="1">
        <f t="array" ref="C45">_xlfn.TEXTBEFORE(_xlfn.TEXTAFTER(A45,"-"),"-")</f>
        <v>ATEEQLK</v>
      </c>
      <c r="D45" s="5" cm="1">
        <f t="array" ref="D45">VALUE(_xlfn.TEXTAFTER(_xlfn.TEXTBEFORE(_xlfn.TEXTAFTER(A45,"-",2),"-"),"a"))</f>
        <v>4</v>
      </c>
      <c r="E45" s="5" cm="1">
        <f t="array" ref="E45">VALUE(_xlfn.TEXTAFTER(_xlfn.TEXTAFTER(A45,"-",2),"b"))</f>
        <v>3</v>
      </c>
      <c r="F45" t="s" s="2">
        <v>97</v>
      </c>
      <c r="G45" t="str" s="4">
        <v>P02769</v>
      </c>
      <c r="H45" t="s" s="2">
        <v>97</v>
      </c>
      <c r="I45" t="str" s="4">
        <v>P02769</v>
      </c>
      <c r="J45" s="6">
        <v>392</v>
      </c>
      <c r="K45" s="6">
        <v>540</v>
      </c>
      <c r="L45" s="5">
        <v>2036.965</v>
      </c>
      <c r="M45" s="5">
        <v>510.249</v>
      </c>
      <c r="N45" s="5">
        <v>4</v>
      </c>
      <c r="O45" s="5">
        <v>3</v>
      </c>
      <c r="P45" s="5">
        <v>0.13</v>
      </c>
      <c r="Q45" s="5">
        <v>0.3</v>
      </c>
      <c r="R45" s="7">
        <v>24.67</v>
      </c>
      <c r="S45" s="10">
        <v>16.9</v>
      </c>
      <c r="T45" s="4"/>
      <c r="U45" t="s" s="2">
        <v>25</v>
      </c>
    </row>
    <row r="46" ht="13.55" customHeight="1">
      <c r="A46" t="s" s="2">
        <v>120</v>
      </c>
      <c r="B46" t="str" s="4" cm="1">
        <f t="array" ref="B46">_xlfn.TEXTBEFORE(A46,"-")</f>
        <v>YICDNQDTISSKLK</v>
      </c>
      <c r="C46" t="str" s="4" cm="1">
        <f t="array" ref="C46">_xlfn.TEXTBEFORE(_xlfn.TEXTAFTER(A46,"-"),"-")</f>
        <v>SHCIAEVEK</v>
      </c>
      <c r="D46" s="5" cm="1">
        <f t="array" ref="D46">VALUE(_xlfn.TEXTAFTER(_xlfn.TEXTBEFORE(_xlfn.TEXTAFTER(A46,"-",2),"-"),"a"))</f>
        <v>7</v>
      </c>
      <c r="E46" s="5" cm="1">
        <f t="array" ref="E46">VALUE(_xlfn.TEXTAFTER(_xlfn.TEXTAFTER(A46,"-",2),"b"))</f>
        <v>6</v>
      </c>
      <c r="F46" t="s" s="2">
        <v>97</v>
      </c>
      <c r="G46" t="str" s="4">
        <v>P02769</v>
      </c>
      <c r="H46" t="s" s="2">
        <v>97</v>
      </c>
      <c r="I46" t="str" s="4">
        <v>P02769</v>
      </c>
      <c r="J46" s="6">
        <v>268</v>
      </c>
      <c r="K46" s="6">
        <v>291</v>
      </c>
      <c r="L46" s="5">
        <v>2907.437</v>
      </c>
      <c r="M46" s="5">
        <v>727.867</v>
      </c>
      <c r="N46" s="5">
        <v>4</v>
      </c>
      <c r="O46" s="5">
        <v>5.4</v>
      </c>
      <c r="P46" s="5">
        <v>0.39</v>
      </c>
      <c r="Q46" s="5">
        <v>0.64</v>
      </c>
      <c r="R46" s="7">
        <v>24.44</v>
      </c>
      <c r="S46" s="10">
        <v>18.6</v>
      </c>
      <c r="T46" s="4"/>
      <c r="U46" t="s" s="2">
        <v>25</v>
      </c>
    </row>
    <row r="47" ht="13.55" customHeight="1">
      <c r="A47" t="s" s="2">
        <v>123</v>
      </c>
      <c r="B47" t="str" s="4" cm="1">
        <f t="array" ref="B47">_xlfn.TEXTBEFORE(A47,"-")</f>
        <v>LKPDPNTLCDEFK</v>
      </c>
      <c r="C47" t="str" s="4" cm="1">
        <f t="array" ref="C47">_xlfn.TEXTBEFORE(_xlfn.TEXTAFTER(A47,"-"),"-")</f>
        <v>YLYEIAR</v>
      </c>
      <c r="D47" s="5" cm="1">
        <f t="array" ref="D47">VALUE(_xlfn.TEXTAFTER(_xlfn.TEXTBEFORE(_xlfn.TEXTAFTER(A47,"-",2),"-"),"a"))</f>
        <v>11</v>
      </c>
      <c r="E47" s="5" cm="1">
        <f t="array" ref="E47">VALUE(_xlfn.TEXTAFTER(_xlfn.TEXTAFTER(A47,"-",2),"b"))</f>
        <v>4</v>
      </c>
      <c r="F47" t="s" s="2">
        <v>97</v>
      </c>
      <c r="G47" t="str" s="4">
        <v>P02769</v>
      </c>
      <c r="H47" t="s" s="2">
        <v>97</v>
      </c>
      <c r="I47" t="str" s="4">
        <v>P02769</v>
      </c>
      <c r="J47" t="s" s="3">
        <v>126</v>
      </c>
      <c r="K47" s="6">
        <v>140</v>
      </c>
      <c r="L47" s="5">
        <v>2654.36</v>
      </c>
      <c r="M47" s="5">
        <v>531.88</v>
      </c>
      <c r="N47" s="5">
        <v>5</v>
      </c>
      <c r="O47" s="5">
        <v>2.6</v>
      </c>
      <c r="P47" s="5">
        <v>0.38</v>
      </c>
      <c r="Q47" s="5">
        <v>0.57</v>
      </c>
      <c r="R47" s="7">
        <v>22.68</v>
      </c>
      <c r="S47" t="s" s="9">
        <v>127</v>
      </c>
      <c r="T47" s="4"/>
      <c r="U47" t="s" s="2">
        <v>25</v>
      </c>
    </row>
    <row r="48" ht="13.55" customHeight="1">
      <c r="A48" t="s" s="2">
        <v>128</v>
      </c>
      <c r="B48" t="str" s="4" cm="1">
        <f t="array" ref="B48">_xlfn.TEXTBEFORE(A48,"-")</f>
        <v>LKPDPNTLCDEFK</v>
      </c>
      <c r="C48" t="str" s="4" cm="1">
        <f t="array" ref="C48">_xlfn.TEXTBEFORE(_xlfn.TEXTAFTER(A48,"-"),"-")</f>
        <v>YLYEIAR</v>
      </c>
      <c r="D48" s="5" cm="1">
        <f t="array" ref="D48">VALUE(_xlfn.TEXTAFTER(_xlfn.TEXTBEFORE(_xlfn.TEXTAFTER(A48,"-",2),"-"),"a"))</f>
        <v>10</v>
      </c>
      <c r="E48" s="5" cm="1">
        <f t="array" ref="E48">VALUE(_xlfn.TEXTAFTER(_xlfn.TEXTAFTER(A48,"-",2),"b"))</f>
        <v>4</v>
      </c>
      <c r="F48" t="s" s="2">
        <v>97</v>
      </c>
      <c r="G48" t="str" s="4">
        <v>P02769</v>
      </c>
      <c r="H48" t="s" s="2">
        <v>97</v>
      </c>
      <c r="I48" t="str" s="4">
        <v>P02769</v>
      </c>
      <c r="J48" t="s" s="3">
        <v>126</v>
      </c>
      <c r="K48" s="6">
        <v>140</v>
      </c>
      <c r="L48" s="5">
        <v>2654.36</v>
      </c>
      <c r="M48" s="5">
        <v>531.88</v>
      </c>
      <c r="N48" s="5">
        <v>5</v>
      </c>
      <c r="O48" s="5">
        <v>2.6</v>
      </c>
      <c r="P48" s="5">
        <v>0.38</v>
      </c>
      <c r="Q48" s="5">
        <v>0.57</v>
      </c>
      <c r="R48" s="7">
        <v>22.68</v>
      </c>
      <c r="S48" t="s" s="9">
        <v>127</v>
      </c>
      <c r="T48" s="4"/>
      <c r="U48" t="s" s="2">
        <v>25</v>
      </c>
    </row>
    <row r="49" ht="13.55" customHeight="1">
      <c r="A49" t="s" s="2">
        <v>129</v>
      </c>
      <c r="B49" t="str" s="4" cm="1">
        <f t="array" ref="B49">_xlfn.TEXTBEFORE(A49,"-")</f>
        <v>ECCDKPLLEK</v>
      </c>
      <c r="C49" t="str" s="4" cm="1">
        <f t="array" ref="C49">_xlfn.TEXTBEFORE(_xlfn.TEXTAFTER(A49,"-"),"-")</f>
        <v>SHCIAEVEK</v>
      </c>
      <c r="D49" s="5" cm="1">
        <f t="array" ref="D49">VALUE(_xlfn.TEXTAFTER(_xlfn.TEXTBEFORE(_xlfn.TEXTAFTER(A49,"-",2),"-"),"a"))</f>
        <v>1</v>
      </c>
      <c r="E49" s="5" cm="1">
        <f t="array" ref="E49">VALUE(_xlfn.TEXTAFTER(_xlfn.TEXTAFTER(A49,"-",2),"b"))</f>
        <v>6</v>
      </c>
      <c r="F49" t="s" s="2">
        <v>97</v>
      </c>
      <c r="G49" t="str" s="4">
        <v>P02769</v>
      </c>
      <c r="H49" t="s" s="2">
        <v>97</v>
      </c>
      <c r="I49" t="str" s="4">
        <v>P02769</v>
      </c>
      <c r="J49" s="6">
        <v>276</v>
      </c>
      <c r="K49" s="6">
        <v>291</v>
      </c>
      <c r="L49" s="5">
        <v>2514.212</v>
      </c>
      <c r="M49" s="5">
        <v>420.043</v>
      </c>
      <c r="N49" s="5">
        <v>6</v>
      </c>
      <c r="O49" s="5">
        <v>3.8</v>
      </c>
      <c r="P49" s="5">
        <v>0.17</v>
      </c>
      <c r="Q49" s="5">
        <v>0.59</v>
      </c>
      <c r="R49" s="7">
        <v>21.83</v>
      </c>
      <c r="S49" s="10">
        <v>11.9</v>
      </c>
      <c r="T49" s="4"/>
      <c r="U49" t="s" s="2">
        <v>25</v>
      </c>
    </row>
    <row r="50" ht="13.55" customHeight="1">
      <c r="A50" t="s" s="2">
        <v>130</v>
      </c>
      <c r="B50" t="str" s="4" cm="1">
        <f t="array" ref="B50">_xlfn.TEXTBEFORE(A50,"-")</f>
        <v>SLHTLFGDELCK</v>
      </c>
      <c r="C50" t="str" s="4" cm="1">
        <f t="array" ref="C50">_xlfn.TEXTBEFORE(_xlfn.TEXTAFTER(A50,"-"),"-")</f>
        <v>LVNELTEFAK</v>
      </c>
      <c r="D50" s="5" cm="1">
        <f t="array" ref="D50">VALUE(_xlfn.TEXTAFTER(_xlfn.TEXTBEFORE(_xlfn.TEXTAFTER(A50,"-",2),"-"),"a"))</f>
        <v>8</v>
      </c>
      <c r="E50" s="5" cm="1">
        <f t="array" ref="E50">VALUE(_xlfn.TEXTAFTER(_xlfn.TEXTAFTER(A50,"-",2),"b"))</f>
        <v>4</v>
      </c>
      <c r="F50" t="s" s="2">
        <v>97</v>
      </c>
      <c r="G50" t="str" s="4">
        <v>P02769</v>
      </c>
      <c r="H50" t="s" s="2">
        <v>97</v>
      </c>
      <c r="I50" t="str" s="4">
        <v>P02769</v>
      </c>
      <c r="J50" s="6">
        <v>72</v>
      </c>
      <c r="K50" s="6">
        <v>45</v>
      </c>
      <c r="L50" s="5">
        <v>2733.432</v>
      </c>
      <c r="M50" s="5">
        <v>684.366</v>
      </c>
      <c r="N50" s="5">
        <v>4</v>
      </c>
      <c r="O50" s="5">
        <v>5.7</v>
      </c>
      <c r="P50" s="5">
        <v>0.19</v>
      </c>
      <c r="Q50" s="5">
        <v>0.5</v>
      </c>
      <c r="R50" s="7">
        <v>21.81</v>
      </c>
      <c r="S50" s="10">
        <v>12.1</v>
      </c>
      <c r="T50" s="4"/>
      <c r="U50" t="s" s="2">
        <v>25</v>
      </c>
    </row>
    <row r="51" ht="13.55" customHeight="1">
      <c r="A51" t="s" s="2">
        <v>131</v>
      </c>
      <c r="B51" t="str" s="4" cm="1">
        <f t="array" ref="B51">_xlfn.TEXTBEFORE(A51,"-")</f>
        <v>HLVDEPQNLIK</v>
      </c>
      <c r="C51" t="str" s="4" cm="1">
        <f t="array" ref="C51">_xlfn.TEXTBEFORE(_xlfn.TEXTAFTER(A51,"-"),"-")</f>
        <v>CCTKPESER</v>
      </c>
      <c r="D51" s="5" cm="1">
        <f t="array" ref="D51">VALUE(_xlfn.TEXTAFTER(_xlfn.TEXTBEFORE(_xlfn.TEXTAFTER(A51,"-",2),"-"),"a"))</f>
        <v>4</v>
      </c>
      <c r="E51" s="5" cm="1">
        <f t="array" ref="E51">VALUE(_xlfn.TEXTAFTER(_xlfn.TEXTAFTER(A51,"-",2),"b"))</f>
        <v>6</v>
      </c>
      <c r="F51" t="s" s="2">
        <v>97</v>
      </c>
      <c r="G51" t="str" s="4">
        <v>P02769</v>
      </c>
      <c r="H51" t="s" s="2">
        <v>97</v>
      </c>
      <c r="I51" t="str" s="4">
        <v>P02769</v>
      </c>
      <c r="J51" s="6">
        <v>381</v>
      </c>
      <c r="K51" s="6">
        <v>441</v>
      </c>
      <c r="L51" s="5">
        <v>2622.319</v>
      </c>
      <c r="M51" s="5">
        <v>656.588</v>
      </c>
      <c r="N51" s="5">
        <v>4</v>
      </c>
      <c r="O51" s="5">
        <v>7.1</v>
      </c>
      <c r="P51" s="5">
        <v>0.23</v>
      </c>
      <c r="Q51" s="5">
        <v>0.48</v>
      </c>
      <c r="R51" s="7">
        <v>21.52</v>
      </c>
      <c r="S51" s="10">
        <v>13.6</v>
      </c>
      <c r="T51" s="4"/>
      <c r="U51" t="s" s="2">
        <v>25</v>
      </c>
    </row>
    <row r="52" ht="13.55" customHeight="1">
      <c r="A52" t="s" s="2">
        <v>134</v>
      </c>
      <c r="B52" t="str" s="4" cm="1">
        <f t="array" ref="B52">_xlfn.TEXTBEFORE(A52,"-")</f>
        <v>YICDNQDTISSKLK</v>
      </c>
      <c r="C52" t="str" s="4" cm="1">
        <f t="array" ref="C52">_xlfn.TEXTBEFORE(_xlfn.TEXTAFTER(A52,"-"),"-")</f>
        <v>SHCIAEVEK</v>
      </c>
      <c r="D52" s="5" cm="1">
        <f t="array" ref="D52">VALUE(_xlfn.TEXTAFTER(_xlfn.TEXTBEFORE(_xlfn.TEXTAFTER(A52,"-",2),"-"),"a"))</f>
        <v>7</v>
      </c>
      <c r="E52" s="5" cm="1">
        <f t="array" ref="E52">VALUE(_xlfn.TEXTAFTER(_xlfn.TEXTAFTER(A52,"-",2),"b"))</f>
        <v>8</v>
      </c>
      <c r="F52" t="s" s="2">
        <v>97</v>
      </c>
      <c r="G52" t="str" s="4">
        <v>P02769</v>
      </c>
      <c r="H52" t="s" s="2">
        <v>97</v>
      </c>
      <c r="I52" t="str" s="4">
        <v>P02769</v>
      </c>
      <c r="J52" s="6">
        <v>268</v>
      </c>
      <c r="K52" s="6">
        <v>293</v>
      </c>
      <c r="L52" s="5">
        <v>2907.441</v>
      </c>
      <c r="M52" s="5">
        <v>727.8680000000001</v>
      </c>
      <c r="N52" s="5">
        <v>4</v>
      </c>
      <c r="O52" s="5">
        <v>6.6</v>
      </c>
      <c r="P52" s="5">
        <v>0.23</v>
      </c>
      <c r="Q52" s="5">
        <v>0.66</v>
      </c>
      <c r="R52" s="7">
        <v>20.39</v>
      </c>
      <c r="S52" s="10">
        <v>15.5</v>
      </c>
      <c r="T52" s="4"/>
      <c r="U52" t="s" s="2">
        <v>25</v>
      </c>
    </row>
    <row r="53" ht="13.55" customHeight="1">
      <c r="A53" t="s" s="2">
        <v>135</v>
      </c>
      <c r="B53" t="str" s="4" cm="1">
        <f t="array" ref="B53">_xlfn.TEXTBEFORE(A53,"-")</f>
        <v>SLHTLFGDELCK</v>
      </c>
      <c r="C53" t="str" s="4" cm="1">
        <f t="array" ref="C53">_xlfn.TEXTBEFORE(_xlfn.TEXTAFTER(A53,"-"),"-")</f>
        <v>LVNELTEFAK</v>
      </c>
      <c r="D53" s="5" cm="1">
        <f t="array" ref="D53">VALUE(_xlfn.TEXTAFTER(_xlfn.TEXTBEFORE(_xlfn.TEXTAFTER(A53,"-",2),"-"),"a"))</f>
        <v>8</v>
      </c>
      <c r="E53" s="5" cm="1">
        <f t="array" ref="E53">VALUE(_xlfn.TEXTAFTER(_xlfn.TEXTAFTER(A53,"-",2),"b"))</f>
        <v>7</v>
      </c>
      <c r="F53" t="s" s="2">
        <v>97</v>
      </c>
      <c r="G53" t="str" s="4">
        <v>P02769</v>
      </c>
      <c r="H53" t="s" s="2">
        <v>97</v>
      </c>
      <c r="I53" t="str" s="4">
        <v>P02769</v>
      </c>
      <c r="J53" s="6">
        <v>72</v>
      </c>
      <c r="K53" s="6">
        <v>48</v>
      </c>
      <c r="L53" s="5">
        <v>2733.429</v>
      </c>
      <c r="M53" s="5">
        <v>912.151</v>
      </c>
      <c r="N53" s="5">
        <v>3</v>
      </c>
      <c r="O53" s="5">
        <v>4.6</v>
      </c>
      <c r="P53" s="5">
        <v>0.34</v>
      </c>
      <c r="Q53" s="5">
        <v>0.31</v>
      </c>
      <c r="R53" s="7">
        <v>20.25</v>
      </c>
      <c r="S53" s="10">
        <v>15.2</v>
      </c>
      <c r="T53" s="4"/>
      <c r="U53" t="s" s="2">
        <v>25</v>
      </c>
    </row>
    <row r="54" ht="13.55" customHeight="1">
      <c r="A54" t="s" s="2">
        <v>136</v>
      </c>
      <c r="B54" t="str" s="4" cm="1">
        <f t="array" ref="B54">_xlfn.TEXTBEFORE(A54,"-")</f>
        <v>ECCHGDLLECADDR</v>
      </c>
      <c r="C54" t="str" s="4" cm="1">
        <f t="array" ref="C54">_xlfn.TEXTBEFORE(_xlfn.TEXTAFTER(A54,"-"),"-")</f>
        <v>NECFLSHK</v>
      </c>
      <c r="D54" s="5" cm="1">
        <f t="array" ref="D54">VALUE(_xlfn.TEXTAFTER(_xlfn.TEXTBEFORE(_xlfn.TEXTAFTER(A54,"-",2),"-"),"a"))</f>
        <v>6</v>
      </c>
      <c r="E54" s="5" cm="1">
        <f t="array" ref="E54">VALUE(_xlfn.TEXTAFTER(_xlfn.TEXTAFTER(A54,"-",2),"b"))</f>
        <v>2</v>
      </c>
      <c r="F54" t="s" s="2">
        <v>97</v>
      </c>
      <c r="G54" t="str" s="4">
        <v>P02769</v>
      </c>
      <c r="H54" t="s" s="2">
        <v>97</v>
      </c>
      <c r="I54" t="str" s="4">
        <v>P02769</v>
      </c>
      <c r="J54" s="6">
        <v>248</v>
      </c>
      <c r="K54" s="6">
        <v>100</v>
      </c>
      <c r="L54" s="5">
        <v>2934.243</v>
      </c>
      <c r="M54" s="5">
        <v>734.568</v>
      </c>
      <c r="N54" s="5">
        <v>4</v>
      </c>
      <c r="O54" s="5">
        <v>5.5</v>
      </c>
      <c r="P54" s="5">
        <v>0.15</v>
      </c>
      <c r="Q54" s="5">
        <v>0</v>
      </c>
      <c r="R54" s="7">
        <v>20.02</v>
      </c>
      <c r="S54" s="10">
        <v>11.9</v>
      </c>
      <c r="T54" s="4"/>
      <c r="U54" t="s" s="2">
        <v>25</v>
      </c>
    </row>
    <row r="55" ht="13.55" customHeight="1">
      <c r="A55" t="s" s="2">
        <v>139</v>
      </c>
      <c r="B55" t="str" s="4" cm="1">
        <f t="array" ref="B55">_xlfn.TEXTBEFORE(A55,"-")</f>
        <v>YICDNQDTISSKLKECCDKPLLEK</v>
      </c>
      <c r="C55" t="str" s="4" cm="1">
        <f t="array" ref="C55">_xlfn.TEXTBEFORE(_xlfn.TEXTAFTER(A55,"-"),"-")</f>
        <v>SHCIAEVEK</v>
      </c>
      <c r="D55" s="5" cm="1">
        <f t="array" ref="D55">VALUE(_xlfn.TEXTAFTER(_xlfn.TEXTBEFORE(_xlfn.TEXTAFTER(A55,"-",2),"-"),"a"))</f>
        <v>4</v>
      </c>
      <c r="E55" s="5" cm="1">
        <f t="array" ref="E55">VALUE(_xlfn.TEXTAFTER(_xlfn.TEXTAFTER(A55,"-",2),"b"))</f>
        <v>8</v>
      </c>
      <c r="F55" t="s" s="2">
        <v>97</v>
      </c>
      <c r="G55" t="str" s="4">
        <v>P02769</v>
      </c>
      <c r="H55" t="s" s="2">
        <v>97</v>
      </c>
      <c r="I55" t="str" s="4">
        <v>P02769</v>
      </c>
      <c r="J55" s="6">
        <v>265</v>
      </c>
      <c r="K55" t="s" s="3">
        <v>141</v>
      </c>
      <c r="L55" s="5">
        <v>4180.03</v>
      </c>
      <c r="M55" s="5">
        <v>837.014</v>
      </c>
      <c r="N55" s="5">
        <v>5</v>
      </c>
      <c r="O55" s="5">
        <v>5.7</v>
      </c>
      <c r="P55" s="5">
        <v>0.13</v>
      </c>
      <c r="Q55" s="5">
        <v>0.59</v>
      </c>
      <c r="R55" s="7">
        <v>19.82</v>
      </c>
      <c r="S55" t="s" s="9">
        <v>142</v>
      </c>
      <c r="T55" s="4"/>
      <c r="U55" t="s" s="2">
        <v>25</v>
      </c>
    </row>
    <row r="56" ht="13.55" customHeight="1">
      <c r="A56" t="s" s="2">
        <v>143</v>
      </c>
      <c r="B56" t="str" s="4" cm="1">
        <f t="array" ref="B56">_xlfn.TEXTBEFORE(A56,"-")</f>
        <v>YICDNQDTISSKLKECCDKPLLEK</v>
      </c>
      <c r="C56" t="str" s="4" cm="1">
        <f t="array" ref="C56">_xlfn.TEXTBEFORE(_xlfn.TEXTAFTER(A56,"-"),"-")</f>
        <v>SHCIAEVEK</v>
      </c>
      <c r="D56" s="5" cm="1">
        <f t="array" ref="D56">VALUE(_xlfn.TEXTAFTER(_xlfn.TEXTBEFORE(_xlfn.TEXTAFTER(A56,"-",2),"-"),"a"))</f>
        <v>4</v>
      </c>
      <c r="E56" s="5" cm="1">
        <f t="array" ref="E56">VALUE(_xlfn.TEXTAFTER(_xlfn.TEXTAFTER(A56,"-",2),"b"))</f>
        <v>6</v>
      </c>
      <c r="F56" t="s" s="2">
        <v>97</v>
      </c>
      <c r="G56" t="str" s="4">
        <v>P02769</v>
      </c>
      <c r="H56" t="s" s="2">
        <v>97</v>
      </c>
      <c r="I56" t="str" s="4">
        <v>P02769</v>
      </c>
      <c r="J56" s="6">
        <v>265</v>
      </c>
      <c r="K56" t="s" s="3">
        <v>141</v>
      </c>
      <c r="L56" s="5">
        <v>4180.03</v>
      </c>
      <c r="M56" s="5">
        <v>837.014</v>
      </c>
      <c r="N56" s="5">
        <v>5</v>
      </c>
      <c r="O56" s="5">
        <v>5.7</v>
      </c>
      <c r="P56" s="5">
        <v>0.13</v>
      </c>
      <c r="Q56" s="5">
        <v>0.59</v>
      </c>
      <c r="R56" s="7">
        <v>19.82</v>
      </c>
      <c r="S56" t="s" s="9">
        <v>142</v>
      </c>
      <c r="T56" s="4"/>
      <c r="U56" t="s" s="2">
        <v>25</v>
      </c>
    </row>
    <row r="57" ht="13.55" customHeight="1">
      <c r="A57" t="s" s="2">
        <v>144</v>
      </c>
      <c r="B57" t="str" s="4" cm="1">
        <f t="array" ref="B57">_xlfn.TEXTBEFORE(A57,"-")</f>
        <v>ECCHGDLLECADDRADLAK</v>
      </c>
      <c r="C57" t="str" s="4" cm="1">
        <f t="array" ref="C57">_xlfn.TEXTBEFORE(_xlfn.TEXTAFTER(A57,"-"),"-")</f>
        <v>SEIAHR</v>
      </c>
      <c r="D57" s="5" cm="1">
        <f t="array" ref="D57">VALUE(_xlfn.TEXTAFTER(_xlfn.TEXTBEFORE(_xlfn.TEXTAFTER(A57,"-",2),"-"),"a"))</f>
        <v>9</v>
      </c>
      <c r="E57" s="5" cm="1">
        <f t="array" ref="E57">VALUE(_xlfn.TEXTAFTER(_xlfn.TEXTAFTER(A57,"-",2),"b"))</f>
        <v>2</v>
      </c>
      <c r="F57" t="s" s="2">
        <v>97</v>
      </c>
      <c r="G57" t="str" s="4">
        <v>P02769</v>
      </c>
      <c r="H57" t="s" s="2">
        <v>97</v>
      </c>
      <c r="I57" t="str" s="4">
        <v>P02769</v>
      </c>
      <c r="J57" t="s" s="3">
        <v>146</v>
      </c>
      <c r="K57" s="6">
        <v>6</v>
      </c>
      <c r="L57" s="5">
        <v>3110.432</v>
      </c>
      <c r="M57" s="5">
        <v>623.0940000000001</v>
      </c>
      <c r="N57" s="5">
        <v>5</v>
      </c>
      <c r="O57" s="5">
        <v>7.7</v>
      </c>
      <c r="P57" s="5">
        <v>0.14</v>
      </c>
      <c r="Q57" s="5">
        <v>0.43</v>
      </c>
      <c r="R57" s="7">
        <v>19.58</v>
      </c>
      <c r="S57" t="s" s="9">
        <v>147</v>
      </c>
      <c r="T57" s="4"/>
      <c r="U57" t="s" s="2">
        <v>25</v>
      </c>
    </row>
    <row r="58" ht="13.55" customHeight="1">
      <c r="A58" t="s" s="2">
        <v>148</v>
      </c>
      <c r="B58" t="str" s="4" cm="1">
        <f t="array" ref="B58">_xlfn.TEXTBEFORE(A58,"-")</f>
        <v>ECCHGDLLECADDRADLAK</v>
      </c>
      <c r="C58" t="str" s="4" cm="1">
        <f t="array" ref="C58">_xlfn.TEXTBEFORE(_xlfn.TEXTAFTER(A58,"-"),"-")</f>
        <v>SEIAHR</v>
      </c>
      <c r="D58" s="5" cm="1">
        <f t="array" ref="D58">VALUE(_xlfn.TEXTAFTER(_xlfn.TEXTBEFORE(_xlfn.TEXTAFTER(A58,"-",2),"-"),"a"))</f>
        <v>12</v>
      </c>
      <c r="E58" s="5" cm="1">
        <f t="array" ref="E58">VALUE(_xlfn.TEXTAFTER(_xlfn.TEXTAFTER(A58,"-",2),"b"))</f>
        <v>2</v>
      </c>
      <c r="F58" t="s" s="2">
        <v>97</v>
      </c>
      <c r="G58" t="str" s="4">
        <v>P02769</v>
      </c>
      <c r="H58" t="s" s="2">
        <v>97</v>
      </c>
      <c r="I58" t="str" s="4">
        <v>P02769</v>
      </c>
      <c r="J58" t="s" s="3">
        <v>146</v>
      </c>
      <c r="K58" s="6">
        <v>6</v>
      </c>
      <c r="L58" s="5">
        <v>3110.432</v>
      </c>
      <c r="M58" s="5">
        <v>623.0940000000001</v>
      </c>
      <c r="N58" s="5">
        <v>5</v>
      </c>
      <c r="O58" s="5">
        <v>7.7</v>
      </c>
      <c r="P58" s="5">
        <v>0.14</v>
      </c>
      <c r="Q58" s="5">
        <v>0.43</v>
      </c>
      <c r="R58" s="7">
        <v>19.58</v>
      </c>
      <c r="S58" t="s" s="9">
        <v>147</v>
      </c>
      <c r="T58" s="4"/>
      <c r="U58" t="s" s="2">
        <v>25</v>
      </c>
    </row>
    <row r="59" ht="13.55" customHeight="1">
      <c r="A59" t="s" s="2">
        <v>149</v>
      </c>
      <c r="B59" t="str" s="4" cm="1">
        <f t="array" ref="B59">_xlfn.TEXTBEFORE(A59,"-")</f>
        <v>YICDNQDTISSK</v>
      </c>
      <c r="C59" t="str" s="4" cm="1">
        <f t="array" ref="C59">_xlfn.TEXTBEFORE(_xlfn.TEXTAFTER(A59,"-"),"-")</f>
        <v>ECCDKPLLEK</v>
      </c>
      <c r="D59" s="5" cm="1">
        <f t="array" ref="D59">VALUE(_xlfn.TEXTAFTER(_xlfn.TEXTBEFORE(_xlfn.TEXTAFTER(A59,"-",2),"-"),"a"))</f>
        <v>4</v>
      </c>
      <c r="E59" s="5" cm="1">
        <f t="array" ref="E59">VALUE(_xlfn.TEXTAFTER(_xlfn.TEXTAFTER(A59,"-",2),"b"))</f>
        <v>4</v>
      </c>
      <c r="F59" t="s" s="2">
        <v>97</v>
      </c>
      <c r="G59" t="str" s="4">
        <v>P02769</v>
      </c>
      <c r="H59" t="s" s="2">
        <v>97</v>
      </c>
      <c r="I59" t="str" s="4">
        <v>P02769</v>
      </c>
      <c r="J59" s="6">
        <v>265</v>
      </c>
      <c r="K59" s="6">
        <v>279</v>
      </c>
      <c r="L59" s="5">
        <v>2885.351</v>
      </c>
      <c r="M59" s="5">
        <v>722.346</v>
      </c>
      <c r="N59" s="5">
        <v>4</v>
      </c>
      <c r="O59" s="5">
        <v>5.2</v>
      </c>
      <c r="P59" s="5">
        <v>0.29</v>
      </c>
      <c r="Q59" s="5">
        <v>0.42</v>
      </c>
      <c r="R59" s="7">
        <v>19.57</v>
      </c>
      <c r="S59" s="10">
        <v>10.9</v>
      </c>
      <c r="T59" s="4"/>
      <c r="U59" t="s" s="2">
        <v>25</v>
      </c>
    </row>
    <row r="60" ht="13.55" customHeight="1">
      <c r="A60" t="s" s="2">
        <v>150</v>
      </c>
      <c r="B60" t="str" s="4" cm="1">
        <f t="array" ref="B60">_xlfn.TEXTBEFORE(A60,"-")</f>
        <v>NECFLSHK</v>
      </c>
      <c r="C60" t="str" s="4" cm="1">
        <f t="array" ref="C60">_xlfn.TEXTBEFORE(_xlfn.TEXTAFTER(A60,"-"),"-")</f>
        <v>LCVLHEK</v>
      </c>
      <c r="D60" s="5" cm="1">
        <f t="array" ref="D60">VALUE(_xlfn.TEXTAFTER(_xlfn.TEXTBEFORE(_xlfn.TEXTAFTER(A60,"-",2),"-"),"a"))</f>
        <v>2</v>
      </c>
      <c r="E60" s="5" cm="1">
        <f t="array" ref="E60">VALUE(_xlfn.TEXTAFTER(_xlfn.TEXTAFTER(A60,"-",2),"b"))</f>
        <v>6</v>
      </c>
      <c r="F60" t="s" s="2">
        <v>97</v>
      </c>
      <c r="G60" t="str" s="4">
        <v>P02769</v>
      </c>
      <c r="H60" t="s" s="2">
        <v>97</v>
      </c>
      <c r="I60" t="str" s="4">
        <v>P02769</v>
      </c>
      <c r="J60" s="6">
        <v>100</v>
      </c>
      <c r="K60" s="6">
        <v>464</v>
      </c>
      <c r="L60" s="5">
        <v>2083.061</v>
      </c>
      <c r="M60" s="5">
        <v>521.773</v>
      </c>
      <c r="N60" s="5">
        <v>4</v>
      </c>
      <c r="O60" s="5">
        <v>7.7</v>
      </c>
      <c r="P60" s="5">
        <v>0.11</v>
      </c>
      <c r="Q60" s="5">
        <v>0.42</v>
      </c>
      <c r="R60" s="7">
        <v>19.56</v>
      </c>
      <c r="S60" s="10">
        <v>17.4</v>
      </c>
      <c r="T60" s="4"/>
      <c r="U60" t="s" s="2">
        <v>25</v>
      </c>
    </row>
    <row r="61" ht="13.55" customHeight="1">
      <c r="A61" t="s" s="2">
        <v>151</v>
      </c>
      <c r="B61" t="str" s="4" cm="1">
        <f t="array" ref="B61">_xlfn.TEXTBEFORE(A61,"-")</f>
        <v>LFTFHADICTLPDTEK</v>
      </c>
      <c r="C61" t="str" s="4" cm="1">
        <f t="array" ref="C61">_xlfn.TEXTBEFORE(_xlfn.TEXTAFTER(A61,"-"),"-")</f>
        <v>KVPQVSTPTLVEVSR</v>
      </c>
      <c r="D61" s="5" cm="1">
        <f t="array" ref="D61">VALUE(_xlfn.TEXTAFTER(_xlfn.TEXTBEFORE(_xlfn.TEXTAFTER(A61,"-",2),"-"),"a"))</f>
        <v>13</v>
      </c>
      <c r="E61" s="5" cm="1">
        <f t="array" ref="E61">VALUE(_xlfn.TEXTAFTER(_xlfn.TEXTAFTER(A61,"-",2),"b"))</f>
        <v>12</v>
      </c>
      <c r="F61" t="s" s="2">
        <v>97</v>
      </c>
      <c r="G61" t="str" s="4">
        <v>P02769</v>
      </c>
      <c r="H61" t="s" s="2">
        <v>97</v>
      </c>
      <c r="I61" t="str" s="4">
        <v>P02769</v>
      </c>
      <c r="J61" s="6">
        <v>517</v>
      </c>
      <c r="K61" s="6">
        <v>424</v>
      </c>
      <c r="L61" s="5">
        <v>3697.968</v>
      </c>
      <c r="M61" s="5">
        <v>740.601</v>
      </c>
      <c r="N61" s="5">
        <v>5</v>
      </c>
      <c r="O61" s="5">
        <v>4.8</v>
      </c>
      <c r="P61" s="5">
        <v>0.16</v>
      </c>
      <c r="Q61" s="5">
        <v>0.43</v>
      </c>
      <c r="R61" s="7">
        <v>19.4</v>
      </c>
      <c r="S61" s="10">
        <v>11</v>
      </c>
      <c r="T61" s="4"/>
      <c r="U61" t="s" s="2">
        <v>25</v>
      </c>
    </row>
    <row r="62" ht="13.55" customHeight="1">
      <c r="A62" t="s" s="2">
        <v>154</v>
      </c>
      <c r="B62" t="str" s="4" cm="1">
        <f t="array" ref="B62">_xlfn.TEXTBEFORE(A62,"-")</f>
        <v>HLVDEPQNLIK</v>
      </c>
      <c r="C62" t="str" s="4" cm="1">
        <f t="array" ref="C62">_xlfn.TEXTBEFORE(_xlfn.TEXTAFTER(A62,"-"),"-")</f>
        <v>CCTKPESER</v>
      </c>
      <c r="D62" s="5" cm="1">
        <f t="array" ref="D62">VALUE(_xlfn.TEXTAFTER(_xlfn.TEXTBEFORE(_xlfn.TEXTAFTER(A62,"-",2),"-"),"a"))</f>
        <v>4</v>
      </c>
      <c r="E62" s="5" cm="1">
        <f t="array" ref="E62">VALUE(_xlfn.TEXTAFTER(_xlfn.TEXTAFTER(A62,"-",2),"b"))</f>
        <v>8</v>
      </c>
      <c r="F62" t="s" s="2">
        <v>97</v>
      </c>
      <c r="G62" t="str" s="4">
        <v>P02769</v>
      </c>
      <c r="H62" t="s" s="2">
        <v>97</v>
      </c>
      <c r="I62" t="str" s="4">
        <v>P02769</v>
      </c>
      <c r="J62" t="s" s="3">
        <v>155</v>
      </c>
      <c r="K62" s="6">
        <v>443</v>
      </c>
      <c r="L62" s="5">
        <v>2622.31</v>
      </c>
      <c r="M62" s="5">
        <v>525.47</v>
      </c>
      <c r="N62" s="5">
        <v>5</v>
      </c>
      <c r="O62" s="5">
        <v>3.6</v>
      </c>
      <c r="P62" s="5">
        <v>0.19</v>
      </c>
      <c r="Q62" s="5">
        <v>0.59</v>
      </c>
      <c r="R62" s="7">
        <v>19.11</v>
      </c>
      <c r="S62" t="s" s="9">
        <v>156</v>
      </c>
      <c r="T62" s="4"/>
      <c r="U62" t="s" s="2">
        <v>25</v>
      </c>
    </row>
    <row r="63" ht="13.55" customHeight="1">
      <c r="A63" t="s" s="2">
        <v>157</v>
      </c>
      <c r="B63" t="str" s="4" cm="1">
        <f t="array" ref="B63">_xlfn.TEXTBEFORE(A63,"-")</f>
        <v>HLVDEPQNLIK</v>
      </c>
      <c r="C63" t="str" s="4" cm="1">
        <f t="array" ref="C63">_xlfn.TEXTBEFORE(_xlfn.TEXTAFTER(A63,"-"),"-")</f>
        <v>CCTKPESER</v>
      </c>
      <c r="D63" s="5" cm="1">
        <f t="array" ref="D63">VALUE(_xlfn.TEXTAFTER(_xlfn.TEXTBEFORE(_xlfn.TEXTAFTER(A63,"-",2),"-"),"a"))</f>
        <v>5</v>
      </c>
      <c r="E63" s="5" cm="1">
        <f t="array" ref="E63">VALUE(_xlfn.TEXTAFTER(_xlfn.TEXTAFTER(A63,"-",2),"b"))</f>
        <v>8</v>
      </c>
      <c r="F63" t="s" s="2">
        <v>97</v>
      </c>
      <c r="G63" t="str" s="4">
        <v>P02769</v>
      </c>
      <c r="H63" t="s" s="2">
        <v>97</v>
      </c>
      <c r="I63" t="str" s="4">
        <v>P02769</v>
      </c>
      <c r="J63" t="s" s="3">
        <v>155</v>
      </c>
      <c r="K63" s="6">
        <v>443</v>
      </c>
      <c r="L63" s="5">
        <v>2622.31</v>
      </c>
      <c r="M63" s="5">
        <v>525.47</v>
      </c>
      <c r="N63" s="5">
        <v>5</v>
      </c>
      <c r="O63" s="5">
        <v>3.6</v>
      </c>
      <c r="P63" s="5">
        <v>0.19</v>
      </c>
      <c r="Q63" s="5">
        <v>0.59</v>
      </c>
      <c r="R63" s="7">
        <v>19.11</v>
      </c>
      <c r="S63" t="s" s="9">
        <v>156</v>
      </c>
      <c r="T63" s="4"/>
      <c r="U63" t="s" s="2">
        <v>25</v>
      </c>
    </row>
    <row r="64" ht="13.55" customHeight="1">
      <c r="A64" t="s" s="2">
        <v>158</v>
      </c>
      <c r="B64" t="str" s="4" cm="1">
        <f t="array" ref="B64">_xlfn.TEXTBEFORE(A64,"-")</f>
        <v>SLHTLFGDELCKVASLR</v>
      </c>
      <c r="C64" t="str" s="4" cm="1">
        <f t="array" ref="C64">_xlfn.TEXTBEFORE(_xlfn.TEXTAFTER(A64,"-"),"-")</f>
        <v>LVNELTEFAK</v>
      </c>
      <c r="D64" s="5" cm="1">
        <f t="array" ref="D64">VALUE(_xlfn.TEXTAFTER(_xlfn.TEXTBEFORE(_xlfn.TEXTAFTER(A64,"-",2),"-"),"a"))</f>
        <v>9</v>
      </c>
      <c r="E64" s="5" cm="1">
        <f t="array" ref="E64">VALUE(_xlfn.TEXTAFTER(_xlfn.TEXTAFTER(A64,"-",2),"b"))</f>
        <v>4</v>
      </c>
      <c r="F64" t="s" s="2">
        <v>97</v>
      </c>
      <c r="G64" t="str" s="4">
        <v>P02769</v>
      </c>
      <c r="H64" t="s" s="2">
        <v>97</v>
      </c>
      <c r="I64" t="str" s="4">
        <v>P02769</v>
      </c>
      <c r="J64" s="6">
        <v>73</v>
      </c>
      <c r="K64" s="6">
        <v>45</v>
      </c>
      <c r="L64" s="5">
        <v>3259.762</v>
      </c>
      <c r="M64" s="5">
        <v>815.948</v>
      </c>
      <c r="N64" s="5">
        <v>4</v>
      </c>
      <c r="O64" s="5">
        <v>7.3</v>
      </c>
      <c r="P64" s="5">
        <v>0.18</v>
      </c>
      <c r="Q64" s="5">
        <v>0.47</v>
      </c>
      <c r="R64" s="7">
        <v>19</v>
      </c>
      <c r="S64" s="10">
        <v>9.300000000000001</v>
      </c>
      <c r="T64" s="4"/>
      <c r="U64" t="s" s="2">
        <v>25</v>
      </c>
    </row>
    <row r="65" ht="13.55" customHeight="1">
      <c r="A65" t="s" s="2">
        <v>160</v>
      </c>
      <c r="B65" t="str" s="4" cm="1">
        <f t="array" ref="B65">_xlfn.TEXTBEFORE(A65,"-")</f>
        <v>LFTFHADICTLPDTEK</v>
      </c>
      <c r="C65" t="str" s="4" cm="1">
        <f t="array" ref="C65">_xlfn.TEXTBEFORE(_xlfn.TEXTAFTER(A65,"-"),"-")</f>
        <v>KVPQVSTPTLVEVSR</v>
      </c>
      <c r="D65" s="5" cm="1">
        <f t="array" ref="D65">VALUE(_xlfn.TEXTAFTER(_xlfn.TEXTBEFORE(_xlfn.TEXTAFTER(A65,"-",2),"-"),"a"))</f>
        <v>15</v>
      </c>
      <c r="E65" s="5" cm="1">
        <f t="array" ref="E65">VALUE(_xlfn.TEXTAFTER(_xlfn.TEXTAFTER(A65,"-",2),"b"))</f>
        <v>12</v>
      </c>
      <c r="F65" t="s" s="2">
        <v>97</v>
      </c>
      <c r="G65" t="str" s="4">
        <v>P02769</v>
      </c>
      <c r="H65" t="s" s="2">
        <v>97</v>
      </c>
      <c r="I65" t="str" s="4">
        <v>P02769</v>
      </c>
      <c r="J65" s="6">
        <v>519</v>
      </c>
      <c r="K65" s="6">
        <v>424</v>
      </c>
      <c r="L65" s="5">
        <v>3697.975</v>
      </c>
      <c r="M65" s="5">
        <v>740.603</v>
      </c>
      <c r="N65" s="5">
        <v>5</v>
      </c>
      <c r="O65" s="5">
        <v>6.7</v>
      </c>
      <c r="P65" s="5">
        <v>0.23</v>
      </c>
      <c r="Q65" s="5">
        <v>0.44</v>
      </c>
      <c r="R65" s="7">
        <v>18.7</v>
      </c>
      <c r="S65" s="10">
        <v>8.699999999999999</v>
      </c>
      <c r="T65" s="4"/>
      <c r="U65" t="s" s="2">
        <v>25</v>
      </c>
    </row>
    <row r="66" ht="13.55" customHeight="1">
      <c r="A66" t="s" s="2">
        <v>161</v>
      </c>
      <c r="B66" t="str" s="4" cm="1">
        <f t="array" ref="B66">_xlfn.TEXTBEFORE(A66,"-")</f>
        <v>LFTFHADICTLPDTEK</v>
      </c>
      <c r="C66" t="str" s="4" cm="1">
        <f t="array" ref="C66">_xlfn.TEXTBEFORE(_xlfn.TEXTAFTER(A66,"-"),"-")</f>
        <v>VPQVSTPTLVEVSR</v>
      </c>
      <c r="D66" s="5" cm="1">
        <f t="array" ref="D66">VALUE(_xlfn.TEXTAFTER(_xlfn.TEXTBEFORE(_xlfn.TEXTAFTER(A66,"-",2),"-"),"a"))</f>
        <v>15</v>
      </c>
      <c r="E66" s="5" cm="1">
        <f t="array" ref="E66">VALUE(_xlfn.TEXTAFTER(_xlfn.TEXTAFTER(A66,"-",2),"b"))</f>
        <v>11</v>
      </c>
      <c r="F66" t="s" s="2">
        <v>97</v>
      </c>
      <c r="G66" t="str" s="4">
        <v>P02769</v>
      </c>
      <c r="H66" t="s" s="2">
        <v>97</v>
      </c>
      <c r="I66" t="str" s="4">
        <v>P02769</v>
      </c>
      <c r="J66" s="6">
        <v>519</v>
      </c>
      <c r="K66" s="6">
        <v>424</v>
      </c>
      <c r="L66" s="5">
        <v>3569.871</v>
      </c>
      <c r="M66" s="5">
        <v>714.982</v>
      </c>
      <c r="N66" s="5">
        <v>5</v>
      </c>
      <c r="O66" s="5">
        <v>4.5</v>
      </c>
      <c r="P66" s="5">
        <v>0.16</v>
      </c>
      <c r="Q66" s="5">
        <v>0.55</v>
      </c>
      <c r="R66" s="7">
        <v>18.34</v>
      </c>
      <c r="S66" s="10">
        <v>8.699999999999999</v>
      </c>
      <c r="T66" s="4"/>
      <c r="U66" t="s" s="2">
        <v>25</v>
      </c>
    </row>
    <row r="67" ht="13.55" customHeight="1">
      <c r="A67" t="s" s="2">
        <v>162</v>
      </c>
      <c r="B67" t="str" s="4" cm="1">
        <f t="array" ref="B67">_xlfn.TEXTBEFORE(A67,"-")</f>
        <v>RPCFSALTPDETYVPK</v>
      </c>
      <c r="C67" t="str" s="4" cm="1">
        <f t="array" ref="C67">_xlfn.TEXTBEFORE(_xlfn.TEXTAFTER(A67,"-"),"-")</f>
        <v>HKPKATEEQLK</v>
      </c>
      <c r="D67" s="5" cm="1">
        <f t="array" ref="D67">VALUE(_xlfn.TEXTAFTER(_xlfn.TEXTBEFORE(_xlfn.TEXTAFTER(A67,"-",2),"-"),"a"))</f>
        <v>11</v>
      </c>
      <c r="E67" s="5" cm="1">
        <f t="array" ref="E67">VALUE(_xlfn.TEXTAFTER(_xlfn.TEXTAFTER(A67,"-",2),"b"))</f>
        <v>7</v>
      </c>
      <c r="F67" t="s" s="2">
        <v>97</v>
      </c>
      <c r="G67" t="str" s="4">
        <v>P02769</v>
      </c>
      <c r="H67" t="s" s="2">
        <v>97</v>
      </c>
      <c r="I67" t="str" s="4">
        <v>P02769</v>
      </c>
      <c r="J67" s="6">
        <v>494</v>
      </c>
      <c r="K67" t="s" s="3">
        <v>165</v>
      </c>
      <c r="L67" s="5">
        <v>3339.761</v>
      </c>
      <c r="M67" s="5">
        <v>668.96</v>
      </c>
      <c r="N67" s="5">
        <v>5</v>
      </c>
      <c r="O67" s="5">
        <v>6.3</v>
      </c>
      <c r="P67" s="5">
        <v>0.33</v>
      </c>
      <c r="Q67" s="5">
        <v>0.5</v>
      </c>
      <c r="R67" s="7">
        <v>18.3</v>
      </c>
      <c r="S67" t="s" s="9">
        <v>166</v>
      </c>
      <c r="T67" s="4"/>
      <c r="U67" t="s" s="2">
        <v>25</v>
      </c>
    </row>
    <row r="68" ht="13.55" customHeight="1">
      <c r="A68" t="s" s="2">
        <v>167</v>
      </c>
      <c r="B68" t="str" s="4" cm="1">
        <f t="array" ref="B68">_xlfn.TEXTBEFORE(A68,"-")</f>
        <v>RPCFSALTPDETYVPK</v>
      </c>
      <c r="C68" t="str" s="4" cm="1">
        <f t="array" ref="C68">_xlfn.TEXTBEFORE(_xlfn.TEXTAFTER(A68,"-"),"-")</f>
        <v>HKPKATEEQLK</v>
      </c>
      <c r="D68" s="5" cm="1">
        <f t="array" ref="D68">VALUE(_xlfn.TEXTAFTER(_xlfn.TEXTBEFORE(_xlfn.TEXTAFTER(A68,"-",2),"-"),"a"))</f>
        <v>11</v>
      </c>
      <c r="E68" s="5" cm="1">
        <f t="array" ref="E68">VALUE(_xlfn.TEXTAFTER(_xlfn.TEXTAFTER(A68,"-",2),"b"))</f>
        <v>8</v>
      </c>
      <c r="F68" t="s" s="2">
        <v>97</v>
      </c>
      <c r="G68" t="str" s="4">
        <v>P02769</v>
      </c>
      <c r="H68" t="s" s="2">
        <v>97</v>
      </c>
      <c r="I68" t="str" s="4">
        <v>P02769</v>
      </c>
      <c r="J68" s="6">
        <v>494</v>
      </c>
      <c r="K68" t="s" s="3">
        <v>165</v>
      </c>
      <c r="L68" s="5">
        <v>3339.761</v>
      </c>
      <c r="M68" s="5">
        <v>668.96</v>
      </c>
      <c r="N68" s="5">
        <v>5</v>
      </c>
      <c r="O68" s="5">
        <v>6.3</v>
      </c>
      <c r="P68" s="5">
        <v>0.33</v>
      </c>
      <c r="Q68" s="5">
        <v>0.5</v>
      </c>
      <c r="R68" s="7">
        <v>18.3</v>
      </c>
      <c r="S68" t="s" s="9">
        <v>166</v>
      </c>
      <c r="T68" s="4"/>
      <c r="U68" t="s" s="2">
        <v>25</v>
      </c>
    </row>
    <row r="69" ht="13.55" customHeight="1">
      <c r="A69" t="s" s="2">
        <v>168</v>
      </c>
      <c r="B69" t="str" s="4" cm="1">
        <f t="array" ref="B69">_xlfn.TEXTBEFORE(A69,"-")</f>
        <v>RPCFSALTPDETYVPK</v>
      </c>
      <c r="C69" t="str" s="4" cm="1">
        <f t="array" ref="C69">_xlfn.TEXTBEFORE(_xlfn.TEXTAFTER(A69,"-"),"-")</f>
        <v>HKPKATEEQLK</v>
      </c>
      <c r="D69" s="5" cm="1">
        <f t="array" ref="D69">VALUE(_xlfn.TEXTAFTER(_xlfn.TEXTBEFORE(_xlfn.TEXTAFTER(A69,"-",2),"-"),"a"))</f>
        <v>10</v>
      </c>
      <c r="E69" s="5" cm="1">
        <f t="array" ref="E69">VALUE(_xlfn.TEXTAFTER(_xlfn.TEXTAFTER(A69,"-",2),"b"))</f>
        <v>8</v>
      </c>
      <c r="F69" t="s" s="2">
        <v>97</v>
      </c>
      <c r="G69" t="str" s="4">
        <v>P02769</v>
      </c>
      <c r="H69" t="s" s="2">
        <v>97</v>
      </c>
      <c r="I69" t="str" s="4">
        <v>P02769</v>
      </c>
      <c r="J69" s="6">
        <v>493</v>
      </c>
      <c r="K69" s="6">
        <v>541</v>
      </c>
      <c r="L69" s="5">
        <v>3339.755</v>
      </c>
      <c r="M69" s="5">
        <v>668.9589999999999</v>
      </c>
      <c r="N69" s="5">
        <v>5</v>
      </c>
      <c r="O69" s="5">
        <v>4.5</v>
      </c>
      <c r="P69" s="5">
        <v>0.25</v>
      </c>
      <c r="Q69" s="5">
        <v>0.42</v>
      </c>
      <c r="R69" s="7">
        <v>18.25</v>
      </c>
      <c r="S69" s="10">
        <v>20.5</v>
      </c>
      <c r="T69" s="4"/>
      <c r="U69" t="s" s="2">
        <v>25</v>
      </c>
    </row>
    <row r="70" ht="13.55" customHeight="1">
      <c r="A70" t="s" s="2">
        <v>169</v>
      </c>
      <c r="B70" t="str" s="4" cm="1">
        <f t="array" ref="B70">_xlfn.TEXTBEFORE(A70,"-")</f>
        <v>ECCHGDLLECADDRADLAK</v>
      </c>
      <c r="C70" t="str" s="4" cm="1">
        <f t="array" ref="C70">_xlfn.TEXTBEFORE(_xlfn.TEXTAFTER(A70,"-"),"-")</f>
        <v>SEIAHR</v>
      </c>
      <c r="D70" s="5" cm="1">
        <f t="array" ref="D70">VALUE(_xlfn.TEXTAFTER(_xlfn.TEXTBEFORE(_xlfn.TEXTAFTER(A70,"-",2),"-"),"a"))</f>
        <v>16</v>
      </c>
      <c r="E70" s="5" cm="1">
        <f t="array" ref="E70">VALUE(_xlfn.TEXTAFTER(_xlfn.TEXTAFTER(A70,"-",2),"b"))</f>
        <v>2</v>
      </c>
      <c r="F70" t="s" s="2">
        <v>97</v>
      </c>
      <c r="G70" t="str" s="4">
        <v>P02769</v>
      </c>
      <c r="H70" t="s" s="2">
        <v>97</v>
      </c>
      <c r="I70" t="str" s="4">
        <v>P02769</v>
      </c>
      <c r="J70" s="6">
        <v>258</v>
      </c>
      <c r="K70" s="6">
        <v>6</v>
      </c>
      <c r="L70" s="5">
        <v>3110.428</v>
      </c>
      <c r="M70" s="5">
        <v>623.093</v>
      </c>
      <c r="N70" s="5">
        <v>5</v>
      </c>
      <c r="O70" s="5">
        <v>6.4</v>
      </c>
      <c r="P70" s="5">
        <v>0.21</v>
      </c>
      <c r="Q70" s="5">
        <v>0.4</v>
      </c>
      <c r="R70" s="7">
        <v>17.74</v>
      </c>
      <c r="S70" s="10">
        <v>16.7</v>
      </c>
      <c r="T70" s="4"/>
      <c r="U70" t="s" s="2">
        <v>25</v>
      </c>
    </row>
    <row r="71" ht="13.55" customHeight="1">
      <c r="A71" t="s" s="2">
        <v>170</v>
      </c>
      <c r="B71" t="str" s="4" cm="1">
        <f t="array" ref="B71">_xlfn.TEXTBEFORE(A71,"-")</f>
        <v>ECCDKPLLEK</v>
      </c>
      <c r="C71" t="str" s="4" cm="1">
        <f t="array" ref="C71">_xlfn.TEXTBEFORE(_xlfn.TEXTAFTER(A71,"-"),"-")</f>
        <v>CCTKPESER</v>
      </c>
      <c r="D71" s="5" cm="1">
        <f t="array" ref="D71">VALUE(_xlfn.TEXTAFTER(_xlfn.TEXTBEFORE(_xlfn.TEXTAFTER(A71,"-",2),"-"),"a"))</f>
        <v>4</v>
      </c>
      <c r="E71" s="5" cm="1">
        <f t="array" ref="E71">VALUE(_xlfn.TEXTAFTER(_xlfn.TEXTAFTER(A71,"-",2),"b"))</f>
        <v>6</v>
      </c>
      <c r="F71" t="s" s="2">
        <v>97</v>
      </c>
      <c r="G71" t="str" s="4">
        <v>P02769</v>
      </c>
      <c r="H71" t="s" s="2">
        <v>97</v>
      </c>
      <c r="I71" t="str" s="4">
        <v>P02769</v>
      </c>
      <c r="J71" s="6">
        <v>279</v>
      </c>
      <c r="K71" s="6">
        <v>441</v>
      </c>
      <c r="L71" s="5">
        <v>2608.197</v>
      </c>
      <c r="M71" s="5">
        <v>435.707</v>
      </c>
      <c r="N71" s="5">
        <v>6</v>
      </c>
      <c r="O71" s="5">
        <v>4</v>
      </c>
      <c r="P71" s="5">
        <v>0.1</v>
      </c>
      <c r="Q71" s="5">
        <v>0.59</v>
      </c>
      <c r="R71" s="7">
        <v>17.38</v>
      </c>
      <c r="S71" s="11">
        <v>35.5</v>
      </c>
      <c r="T71" s="4"/>
      <c r="U71" t="s" s="2">
        <v>25</v>
      </c>
    </row>
    <row r="72" ht="13.55" customHeight="1">
      <c r="A72" t="s" s="2">
        <v>171</v>
      </c>
      <c r="B72" t="str" s="4" cm="1">
        <f t="array" ref="B72">_xlfn.TEXTBEFORE(A72,"-")</f>
        <v>ECCHGDLLECADDRADLAK</v>
      </c>
      <c r="C72" t="str" s="4" cm="1">
        <f t="array" ref="C72">_xlfn.TEXTBEFORE(_xlfn.TEXTAFTER(A72,"-"),"-")</f>
        <v>SEIAHR</v>
      </c>
      <c r="D72" s="5" cm="1">
        <f t="array" ref="D72">VALUE(_xlfn.TEXTAFTER(_xlfn.TEXTBEFORE(_xlfn.TEXTAFTER(A72,"-",2),"-"),"a"))</f>
        <v>13</v>
      </c>
      <c r="E72" s="5" cm="1">
        <f t="array" ref="E72">VALUE(_xlfn.TEXTAFTER(_xlfn.TEXTAFTER(A72,"-",2),"b"))</f>
        <v>2</v>
      </c>
      <c r="F72" t="s" s="2">
        <v>97</v>
      </c>
      <c r="G72" t="str" s="4">
        <v>P02769</v>
      </c>
      <c r="H72" t="s" s="2">
        <v>97</v>
      </c>
      <c r="I72" t="str" s="4">
        <v>P02769</v>
      </c>
      <c r="J72" s="6">
        <v>255</v>
      </c>
      <c r="K72" s="6">
        <v>6</v>
      </c>
      <c r="L72" s="5">
        <v>3110.42</v>
      </c>
      <c r="M72" s="5">
        <v>623.092</v>
      </c>
      <c r="N72" s="5">
        <v>5</v>
      </c>
      <c r="O72" s="5">
        <v>3.8</v>
      </c>
      <c r="P72" s="5">
        <v>0.18</v>
      </c>
      <c r="Q72" s="5">
        <v>0.39</v>
      </c>
      <c r="R72" s="7">
        <v>16.75</v>
      </c>
      <c r="S72" s="10">
        <v>13.9</v>
      </c>
      <c r="T72" s="4"/>
      <c r="U72" t="s" s="2">
        <v>25</v>
      </c>
    </row>
    <row r="73" ht="13.55" customHeight="1">
      <c r="A73" t="s" s="2">
        <v>172</v>
      </c>
      <c r="B73" t="str" s="4" cm="1">
        <f t="array" ref="B73">_xlfn.TEXTBEFORE(A73,"-")</f>
        <v>ECCHGDLLECADDRADLAK</v>
      </c>
      <c r="C73" t="str" s="4" cm="1">
        <f t="array" ref="C73">_xlfn.TEXTBEFORE(_xlfn.TEXTAFTER(A73,"-"),"-")</f>
        <v>NECFLSHK</v>
      </c>
      <c r="D73" s="5" cm="1">
        <f t="array" ref="D73">VALUE(_xlfn.TEXTAFTER(_xlfn.TEXTBEFORE(_xlfn.TEXTAFTER(A73,"-",2),"-"),"a"))</f>
        <v>6</v>
      </c>
      <c r="E73" s="5" cm="1">
        <f t="array" ref="E73">VALUE(_xlfn.TEXTAFTER(_xlfn.TEXTAFTER(A73,"-",2),"b"))</f>
        <v>2</v>
      </c>
      <c r="F73" t="s" s="2">
        <v>97</v>
      </c>
      <c r="G73" t="str" s="4">
        <v>P02769</v>
      </c>
      <c r="H73" t="s" s="2">
        <v>97</v>
      </c>
      <c r="I73" t="str" s="4">
        <v>P02769</v>
      </c>
      <c r="J73" s="6">
        <v>248</v>
      </c>
      <c r="K73" s="6">
        <v>100</v>
      </c>
      <c r="L73" s="5">
        <v>3432.526</v>
      </c>
      <c r="M73" s="5">
        <v>687.513</v>
      </c>
      <c r="N73" s="5">
        <v>5</v>
      </c>
      <c r="O73" s="5">
        <v>5.8</v>
      </c>
      <c r="P73" s="5">
        <v>0.13</v>
      </c>
      <c r="Q73" s="5">
        <v>0.5</v>
      </c>
      <c r="R73" s="7">
        <v>16.46</v>
      </c>
      <c r="S73" s="10">
        <v>11.9</v>
      </c>
      <c r="T73" s="4"/>
      <c r="U73" t="s" s="2">
        <v>25</v>
      </c>
    </row>
    <row r="74" ht="13.55" customHeight="1">
      <c r="A74" t="s" s="2">
        <v>173</v>
      </c>
      <c r="B74" t="str" s="4" cm="1">
        <f t="array" ref="B74">_xlfn.TEXTBEFORE(A74,"-")</f>
        <v>LFTFHADICTLPDTEK</v>
      </c>
      <c r="C74" t="str" s="4" cm="1">
        <f t="array" ref="C74">_xlfn.TEXTBEFORE(_xlfn.TEXTAFTER(A74,"-"),"-")</f>
        <v>VPQVSTPTLVEVSR</v>
      </c>
      <c r="D74" s="5" cm="1">
        <f t="array" ref="D74">VALUE(_xlfn.TEXTAFTER(_xlfn.TEXTBEFORE(_xlfn.TEXTAFTER(A74,"-",2),"-"),"a"))</f>
        <v>13</v>
      </c>
      <c r="E74" s="5" cm="1">
        <f t="array" ref="E74">VALUE(_xlfn.TEXTAFTER(_xlfn.TEXTAFTER(A74,"-",2),"b"))</f>
        <v>11</v>
      </c>
      <c r="F74" t="s" s="2">
        <v>97</v>
      </c>
      <c r="G74" t="str" s="4">
        <v>P02769</v>
      </c>
      <c r="H74" t="s" s="2">
        <v>97</v>
      </c>
      <c r="I74" t="str" s="4">
        <v>P02769</v>
      </c>
      <c r="J74" s="6">
        <v>517</v>
      </c>
      <c r="K74" s="6">
        <v>424</v>
      </c>
      <c r="L74" s="5">
        <v>3569.88</v>
      </c>
      <c r="M74" s="5">
        <v>714.984</v>
      </c>
      <c r="N74" s="5">
        <v>5</v>
      </c>
      <c r="O74" s="5">
        <v>6.9</v>
      </c>
      <c r="P74" s="5">
        <v>0.14</v>
      </c>
      <c r="Q74" s="5">
        <v>0.64</v>
      </c>
      <c r="R74" s="7">
        <v>16.28</v>
      </c>
      <c r="S74" s="10">
        <v>11</v>
      </c>
      <c r="T74" s="4"/>
      <c r="U74" t="s" s="2">
        <v>25</v>
      </c>
    </row>
    <row r="75" ht="13.55" customHeight="1">
      <c r="A75" t="s" s="2">
        <v>174</v>
      </c>
      <c r="B75" t="str" s="4" cm="1">
        <f t="array" ref="B75">_xlfn.TEXTBEFORE(A75,"-")</f>
        <v>GDVAFIQHSTVEENTGGK</v>
      </c>
      <c r="C75" t="str" s="4" cm="1">
        <f t="array" ref="C75">_xlfn.TEXTBEFORE(_xlfn.TEXTAFTER(A75,"-"),"-")</f>
        <v>YDDESQCSK</v>
      </c>
      <c r="D75" s="5" cm="1">
        <f t="array" ref="D75">VALUE(_xlfn.TEXTAFTER(_xlfn.TEXTBEFORE(_xlfn.TEXTAFTER(A75,"-",2),"-"),"a"))</f>
        <v>12</v>
      </c>
      <c r="E75" s="5" cm="1">
        <f t="array" ref="E75">VALUE(_xlfn.TEXTAFTER(_xlfn.TEXTAFTER(A75,"-",2),"b"))</f>
        <v>4</v>
      </c>
      <c r="F75" t="s" s="2">
        <v>177</v>
      </c>
      <c r="G75" t="str" s="4">
        <v>P02789</v>
      </c>
      <c r="H75" t="s" s="2">
        <v>177</v>
      </c>
      <c r="I75" t="str" s="4">
        <v>P02789</v>
      </c>
      <c r="J75" s="6">
        <v>546</v>
      </c>
      <c r="K75" s="6">
        <v>418</v>
      </c>
      <c r="L75" s="5">
        <v>3170.43</v>
      </c>
      <c r="M75" s="5">
        <v>793.615</v>
      </c>
      <c r="N75" s="5">
        <v>4</v>
      </c>
      <c r="O75" s="5">
        <v>2.9</v>
      </c>
      <c r="P75" s="5">
        <v>0.2</v>
      </c>
      <c r="Q75" s="5">
        <v>0.47</v>
      </c>
      <c r="R75" s="7">
        <v>27.99</v>
      </c>
      <c r="S75" s="10">
        <v>18.4</v>
      </c>
      <c r="T75" s="4"/>
      <c r="U75" t="s" s="2">
        <v>25</v>
      </c>
    </row>
    <row r="76" ht="13.55" customHeight="1">
      <c r="A76" t="s" s="2">
        <v>179</v>
      </c>
      <c r="B76" t="str" s="4" cm="1">
        <f t="array" ref="B76">_xlfn.TEXTBEFORE(A76,"-")</f>
        <v>DEYELLCLDGSR</v>
      </c>
      <c r="C76" t="str" s="4" cm="1">
        <f t="array" ref="C76">_xlfn.TEXTBEFORE(_xlfn.TEXTAFTER(A76,"-"),"-")</f>
        <v>HTTVNENAPDQK</v>
      </c>
      <c r="D76" s="5" cm="1">
        <f t="array" ref="D76">VALUE(_xlfn.TEXTAFTER(_xlfn.TEXTBEFORE(_xlfn.TEXTAFTER(A76,"-",2),"-"),"a"))</f>
        <v>2</v>
      </c>
      <c r="E76" s="5" cm="1">
        <f t="array" ref="E76">VALUE(_xlfn.TEXTAFTER(_xlfn.TEXTAFTER(A76,"-",2),"b"))</f>
        <v>10</v>
      </c>
      <c r="F76" t="s" s="2">
        <v>177</v>
      </c>
      <c r="G76" t="str" s="4">
        <v>P02789</v>
      </c>
      <c r="H76" t="s" s="2">
        <v>177</v>
      </c>
      <c r="I76" t="str" s="4">
        <v>P02789</v>
      </c>
      <c r="J76" s="6">
        <v>223</v>
      </c>
      <c r="K76" s="6">
        <v>219</v>
      </c>
      <c r="L76" s="5">
        <v>2973.405</v>
      </c>
      <c r="M76" s="5">
        <v>744.359</v>
      </c>
      <c r="N76" s="5">
        <v>4</v>
      </c>
      <c r="O76" s="5">
        <v>5.6</v>
      </c>
      <c r="P76" s="5">
        <v>0.43</v>
      </c>
      <c r="Q76" s="5">
        <v>0.9</v>
      </c>
      <c r="R76" s="7">
        <v>27.61</v>
      </c>
      <c r="S76" s="10">
        <v>9.199999999999999</v>
      </c>
      <c r="T76" s="4"/>
      <c r="U76" t="s" s="2">
        <v>25</v>
      </c>
    </row>
    <row r="77" ht="13.55" customHeight="1">
      <c r="A77" t="s" s="2">
        <v>182</v>
      </c>
      <c r="B77" t="str" s="4" cm="1">
        <f t="array" ref="B77">_xlfn.TEXTBEFORE(A77,"-")</f>
        <v>GAIEWEGIESGSVEQAVAK</v>
      </c>
      <c r="C77" t="str" s="4" cm="1">
        <f t="array" ref="C77">_xlfn.TEXTBEFORE(_xlfn.TEXTAFTER(A77,"-"),"-")</f>
        <v>DQLTPSPR</v>
      </c>
      <c r="D77" s="5" cm="1">
        <f t="array" ref="D77">VALUE(_xlfn.TEXTAFTER(_xlfn.TEXTBEFORE(_xlfn.TEXTAFTER(A77,"-",2),"-"),"a"))</f>
        <v>6</v>
      </c>
      <c r="E77" s="5" cm="1">
        <f t="array" ref="E77">VALUE(_xlfn.TEXTAFTER(_xlfn.TEXTAFTER(A77,"-",2),"b"))</f>
        <v>1</v>
      </c>
      <c r="F77" t="s" s="2">
        <v>177</v>
      </c>
      <c r="G77" t="str" s="4">
        <v>P02789</v>
      </c>
      <c r="H77" t="s" s="2">
        <v>177</v>
      </c>
      <c r="I77" t="str" s="4">
        <v>P02789</v>
      </c>
      <c r="J77" s="6">
        <v>141</v>
      </c>
      <c r="K77" s="6">
        <v>334</v>
      </c>
      <c r="L77" s="5">
        <v>3023.55</v>
      </c>
      <c r="M77" s="5">
        <v>756.895</v>
      </c>
      <c r="N77" s="5">
        <v>4</v>
      </c>
      <c r="O77" s="5">
        <v>6.2</v>
      </c>
      <c r="P77" s="5">
        <v>0.28</v>
      </c>
      <c r="Q77" s="5">
        <v>0.29</v>
      </c>
      <c r="R77" s="7">
        <v>26.57</v>
      </c>
      <c r="S77" s="10">
        <v>7.2</v>
      </c>
      <c r="T77" s="4"/>
      <c r="U77" t="s" s="2">
        <v>25</v>
      </c>
    </row>
    <row r="78" ht="13.55" customHeight="1">
      <c r="A78" t="s" s="2">
        <v>185</v>
      </c>
      <c r="B78" t="str" s="4" cm="1">
        <f t="array" ref="B78">_xlfn.TEXTBEFORE(A78,"-")</f>
        <v>TDERPASYFAVAVAR</v>
      </c>
      <c r="C78" t="str" s="4" cm="1">
        <f t="array" ref="C78">_xlfn.TEXTBEFORE(_xlfn.TEXTAFTER(A78,"-"),"-")</f>
        <v>YDDESQCSK</v>
      </c>
      <c r="D78" s="5" cm="1">
        <f t="array" ref="D78">VALUE(_xlfn.TEXTAFTER(_xlfn.TEXTBEFORE(_xlfn.TEXTAFTER(A78,"-",2),"-"),"a"))</f>
        <v>3</v>
      </c>
      <c r="E78" s="5" cm="1">
        <f t="array" ref="E78">VALUE(_xlfn.TEXTAFTER(_xlfn.TEXTAFTER(A78,"-",2),"b"))</f>
        <v>4</v>
      </c>
      <c r="F78" t="s" s="2">
        <v>177</v>
      </c>
      <c r="G78" t="str" s="4">
        <v>P02789</v>
      </c>
      <c r="H78" t="s" s="2">
        <v>177</v>
      </c>
      <c r="I78" t="str" s="4">
        <v>P02789</v>
      </c>
      <c r="J78" s="6">
        <v>426</v>
      </c>
      <c r="K78" t="s" s="3">
        <v>187</v>
      </c>
      <c r="L78" s="5">
        <v>2934.361</v>
      </c>
      <c r="M78" s="5">
        <v>734.598</v>
      </c>
      <c r="N78" s="5">
        <v>4</v>
      </c>
      <c r="O78" s="5">
        <v>1.7</v>
      </c>
      <c r="P78" s="5">
        <v>0.25</v>
      </c>
      <c r="Q78" s="5">
        <v>0.85</v>
      </c>
      <c r="R78" s="7">
        <v>25.16</v>
      </c>
      <c r="S78" t="s" s="3">
        <v>51</v>
      </c>
      <c r="T78" s="4"/>
      <c r="U78" t="s" s="2">
        <v>25</v>
      </c>
    </row>
    <row r="79" ht="13.55" customHeight="1">
      <c r="A79" t="s" s="2">
        <v>188</v>
      </c>
      <c r="B79" t="str" s="4" cm="1">
        <f t="array" ref="B79">_xlfn.TEXTBEFORE(A79,"-")</f>
        <v>TDERPASYFAVAVAR</v>
      </c>
      <c r="C79" t="str" s="4" cm="1">
        <f t="array" ref="C79">_xlfn.TEXTBEFORE(_xlfn.TEXTAFTER(A79,"-"),"-")</f>
        <v>YDDESQCSK</v>
      </c>
      <c r="D79" s="5" cm="1">
        <f t="array" ref="D79">VALUE(_xlfn.TEXTAFTER(_xlfn.TEXTBEFORE(_xlfn.TEXTAFTER(A79,"-",2),"-"),"a"))</f>
        <v>3</v>
      </c>
      <c r="E79" s="5" cm="1">
        <f t="array" ref="E79">VALUE(_xlfn.TEXTAFTER(_xlfn.TEXTAFTER(A79,"-",2),"b"))</f>
        <v>3</v>
      </c>
      <c r="F79" t="s" s="2">
        <v>177</v>
      </c>
      <c r="G79" t="str" s="4">
        <v>P02789</v>
      </c>
      <c r="H79" t="s" s="2">
        <v>177</v>
      </c>
      <c r="I79" t="str" s="4">
        <v>P02789</v>
      </c>
      <c r="J79" s="6">
        <v>426</v>
      </c>
      <c r="K79" t="s" s="3">
        <v>187</v>
      </c>
      <c r="L79" s="5">
        <v>2934.361</v>
      </c>
      <c r="M79" s="5">
        <v>734.598</v>
      </c>
      <c r="N79" s="5">
        <v>4</v>
      </c>
      <c r="O79" s="5">
        <v>1.7</v>
      </c>
      <c r="P79" s="5">
        <v>0.25</v>
      </c>
      <c r="Q79" s="5">
        <v>0.85</v>
      </c>
      <c r="R79" s="7">
        <v>25.16</v>
      </c>
      <c r="S79" t="s" s="3">
        <v>51</v>
      </c>
      <c r="T79" s="4"/>
      <c r="U79" t="s" s="2">
        <v>25</v>
      </c>
    </row>
    <row r="80" ht="13.55" customHeight="1">
      <c r="A80" t="s" s="2">
        <v>189</v>
      </c>
      <c r="B80" t="str" s="4" cm="1">
        <f t="array" ref="B80">_xlfn.TEXTBEFORE(A80,"-")</f>
        <v>ECNLAEVPTHAVVVRPEK</v>
      </c>
      <c r="C80" t="str" s="4" cm="1">
        <f t="array" ref="C80">_xlfn.TEXTBEFORE(_xlfn.TEXTAFTER(A80,"-"),"-")</f>
        <v>TDERPASYFAVAVAR</v>
      </c>
      <c r="D80" s="5" cm="1">
        <f t="array" ref="D80">VALUE(_xlfn.TEXTAFTER(_xlfn.TEXTBEFORE(_xlfn.TEXTAFTER(A80,"-",2),"-"),"a"))</f>
        <v>1</v>
      </c>
      <c r="E80" s="5" cm="1">
        <f t="array" ref="E80">VALUE(_xlfn.TEXTAFTER(_xlfn.TEXTAFTER(A80,"-",2),"b"))</f>
        <v>3</v>
      </c>
      <c r="F80" t="s" s="2">
        <v>177</v>
      </c>
      <c r="G80" t="str" s="4">
        <v>P02789</v>
      </c>
      <c r="H80" t="s" s="2">
        <v>177</v>
      </c>
      <c r="I80" t="str" s="4">
        <v>P02789</v>
      </c>
      <c r="J80" s="6">
        <v>583</v>
      </c>
      <c r="K80" s="6">
        <v>426</v>
      </c>
      <c r="L80" s="5">
        <v>3851.017</v>
      </c>
      <c r="M80" s="5">
        <v>642.8440000000001</v>
      </c>
      <c r="N80" s="5">
        <v>6</v>
      </c>
      <c r="O80" s="5">
        <v>6.9</v>
      </c>
      <c r="P80" s="5">
        <v>0.25</v>
      </c>
      <c r="Q80" s="5">
        <v>0.91</v>
      </c>
      <c r="R80" s="7">
        <v>24.36</v>
      </c>
      <c r="S80" t="s" s="3">
        <v>51</v>
      </c>
      <c r="T80" s="4"/>
      <c r="U80" t="s" s="2">
        <v>25</v>
      </c>
    </row>
    <row r="81" ht="13.55" customHeight="1">
      <c r="A81" t="s" s="2">
        <v>191</v>
      </c>
      <c r="B81" t="str" s="4" cm="1">
        <f t="array" ref="B81">_xlfn.TEXTBEFORE(A81,"-")</f>
        <v>SDFHLFGPPGK</v>
      </c>
      <c r="C81" t="str" s="4" cm="1">
        <f t="array" ref="C81">_xlfn.TEXTBEFORE(_xlfn.TEXTAFTER(A81,"-"),"-")</f>
        <v>DLTQQER</v>
      </c>
      <c r="D81" s="5" cm="1">
        <f t="array" ref="D81">VALUE(_xlfn.TEXTAFTER(_xlfn.TEXTBEFORE(_xlfn.TEXTAFTER(A81,"-",2),"-"),"a"))</f>
        <v>2</v>
      </c>
      <c r="E81" s="5" cm="1">
        <f t="array" ref="E81">VALUE(_xlfn.TEXTAFTER(_xlfn.TEXTAFTER(A81,"-",2),"b"))</f>
        <v>1</v>
      </c>
      <c r="F81" t="s" s="2">
        <v>177</v>
      </c>
      <c r="G81" t="str" s="4">
        <v>P02789</v>
      </c>
      <c r="H81" t="s" s="2">
        <v>177</v>
      </c>
      <c r="I81" t="str" s="4">
        <v>P02789</v>
      </c>
      <c r="J81" s="6">
        <v>281</v>
      </c>
      <c r="K81" s="6">
        <v>25</v>
      </c>
      <c r="L81" s="5">
        <v>2241.14</v>
      </c>
      <c r="M81" s="5">
        <v>449.236</v>
      </c>
      <c r="N81" s="5">
        <v>5</v>
      </c>
      <c r="O81" s="5">
        <v>4.9</v>
      </c>
      <c r="P81" s="5">
        <v>0.18</v>
      </c>
      <c r="Q81" s="5">
        <v>0.49</v>
      </c>
      <c r="R81" s="7">
        <v>23.54</v>
      </c>
      <c r="S81" s="10">
        <v>13.2</v>
      </c>
      <c r="T81" s="4"/>
      <c r="U81" t="s" s="2">
        <v>25</v>
      </c>
    </row>
    <row r="82" ht="13.55" customHeight="1">
      <c r="A82" t="s" s="2">
        <v>194</v>
      </c>
      <c r="B82" t="str" s="4" cm="1">
        <f t="array" ref="B82">_xlfn.TEXTBEFORE(A82,"-")</f>
        <v>SDFHLFGPPGKK</v>
      </c>
      <c r="C82" t="str" s="4" cm="1">
        <f t="array" ref="C82">_xlfn.TEXTBEFORE(_xlfn.TEXTAFTER(A82,"-"),"-")</f>
        <v>DLTQQER</v>
      </c>
      <c r="D82" s="5" cm="1">
        <f t="array" ref="D82">VALUE(_xlfn.TEXTAFTER(_xlfn.TEXTBEFORE(_xlfn.TEXTAFTER(A82,"-",2),"-"),"a"))</f>
        <v>2</v>
      </c>
      <c r="E82" s="5" cm="1">
        <f t="array" ref="E82">VALUE(_xlfn.TEXTAFTER(_xlfn.TEXTAFTER(A82,"-",2),"b"))</f>
        <v>1</v>
      </c>
      <c r="F82" t="s" s="2">
        <v>177</v>
      </c>
      <c r="G82" t="str" s="4">
        <v>P02789</v>
      </c>
      <c r="H82" t="s" s="2">
        <v>177</v>
      </c>
      <c r="I82" t="str" s="4">
        <v>P02789</v>
      </c>
      <c r="J82" s="6">
        <v>281</v>
      </c>
      <c r="K82" s="6">
        <v>25</v>
      </c>
      <c r="L82" s="5">
        <v>2369.233</v>
      </c>
      <c r="M82" s="5">
        <v>474.854</v>
      </c>
      <c r="N82" s="5">
        <v>5</v>
      </c>
      <c r="O82" s="5">
        <v>3.9</v>
      </c>
      <c r="P82" s="5">
        <v>0.28</v>
      </c>
      <c r="Q82" s="5">
        <v>0.61</v>
      </c>
      <c r="R82" s="7">
        <v>23.28</v>
      </c>
      <c r="S82" s="10">
        <v>13.2</v>
      </c>
      <c r="T82" s="4"/>
      <c r="U82" t="s" s="2">
        <v>25</v>
      </c>
    </row>
    <row r="83" ht="13.55" customHeight="1">
      <c r="A83" t="s" s="2">
        <v>196</v>
      </c>
      <c r="B83" t="str" s="4" cm="1">
        <f t="array" ref="B83">_xlfn.TEXTBEFORE(A83,"-")</f>
        <v>TDERPASYFAVAVAR</v>
      </c>
      <c r="C83" t="str" s="4" cm="1">
        <f t="array" ref="C83">_xlfn.TEXTBEFORE(_xlfn.TEXTAFTER(A83,"-"),"-")</f>
        <v>YDDESQCSK</v>
      </c>
      <c r="D83" s="5" cm="1">
        <f t="array" ref="D83">VALUE(_xlfn.TEXTAFTER(_xlfn.TEXTBEFORE(_xlfn.TEXTAFTER(A83,"-",2),"-"),"a"))</f>
        <v>2</v>
      </c>
      <c r="E83" s="5" cm="1">
        <f t="array" ref="E83">VALUE(_xlfn.TEXTAFTER(_xlfn.TEXTAFTER(A83,"-",2),"b"))</f>
        <v>4</v>
      </c>
      <c r="F83" t="s" s="2">
        <v>177</v>
      </c>
      <c r="G83" t="str" s="4">
        <v>P02789</v>
      </c>
      <c r="H83" t="s" s="2">
        <v>177</v>
      </c>
      <c r="I83" t="str" s="4">
        <v>P02789</v>
      </c>
      <c r="J83" s="6">
        <v>425</v>
      </c>
      <c r="K83" t="s" s="3">
        <v>187</v>
      </c>
      <c r="L83" s="5">
        <v>2934.372</v>
      </c>
      <c r="M83" s="5">
        <v>734.601</v>
      </c>
      <c r="N83" s="5">
        <v>4</v>
      </c>
      <c r="O83" s="5">
        <v>5.2</v>
      </c>
      <c r="P83" s="5">
        <v>0.21</v>
      </c>
      <c r="Q83" s="5">
        <v>0.87</v>
      </c>
      <c r="R83" s="7">
        <v>22.27</v>
      </c>
      <c r="S83" t="s" s="3">
        <v>51</v>
      </c>
      <c r="T83" s="4"/>
      <c r="U83" t="s" s="2">
        <v>25</v>
      </c>
    </row>
    <row r="84" ht="13.55" customHeight="1">
      <c r="A84" t="s" s="2">
        <v>197</v>
      </c>
      <c r="B84" t="str" s="4" cm="1">
        <f t="array" ref="B84">_xlfn.TEXTBEFORE(A84,"-")</f>
        <v>TDERPASYFAVAVAR</v>
      </c>
      <c r="C84" t="str" s="4" cm="1">
        <f t="array" ref="C84">_xlfn.TEXTBEFORE(_xlfn.TEXTAFTER(A84,"-"),"-")</f>
        <v>YDDESQCSK</v>
      </c>
      <c r="D84" s="5" cm="1">
        <f t="array" ref="D84">VALUE(_xlfn.TEXTAFTER(_xlfn.TEXTBEFORE(_xlfn.TEXTAFTER(A84,"-",2),"-"),"a"))</f>
        <v>2</v>
      </c>
      <c r="E84" s="5" cm="1">
        <f t="array" ref="E84">VALUE(_xlfn.TEXTAFTER(_xlfn.TEXTAFTER(A84,"-",2),"b"))</f>
        <v>3</v>
      </c>
      <c r="F84" t="s" s="2">
        <v>177</v>
      </c>
      <c r="G84" t="str" s="4">
        <v>P02789</v>
      </c>
      <c r="H84" t="s" s="2">
        <v>177</v>
      </c>
      <c r="I84" t="str" s="4">
        <v>P02789</v>
      </c>
      <c r="J84" s="6">
        <v>425</v>
      </c>
      <c r="K84" t="s" s="3">
        <v>187</v>
      </c>
      <c r="L84" s="5">
        <v>2934.372</v>
      </c>
      <c r="M84" s="5">
        <v>734.601</v>
      </c>
      <c r="N84" s="5">
        <v>4</v>
      </c>
      <c r="O84" s="5">
        <v>5.2</v>
      </c>
      <c r="P84" s="5">
        <v>0.21</v>
      </c>
      <c r="Q84" s="5">
        <v>0.87</v>
      </c>
      <c r="R84" s="7">
        <v>22.27</v>
      </c>
      <c r="S84" t="s" s="3">
        <v>51</v>
      </c>
      <c r="T84" s="4"/>
      <c r="U84" t="s" s="2">
        <v>25</v>
      </c>
    </row>
    <row r="85" ht="13.55" customHeight="1">
      <c r="A85" t="s" s="2">
        <v>198</v>
      </c>
      <c r="B85" t="str" s="4" cm="1">
        <f t="array" ref="B85">_xlfn.TEXTBEFORE(A85,"-")</f>
        <v>ECNLAEVPTHAVVVRPEK</v>
      </c>
      <c r="C85" t="str" s="4" cm="1">
        <f t="array" ref="C85">_xlfn.TEXTBEFORE(_xlfn.TEXTAFTER(A85,"-"),"-")</f>
        <v>YDDESQCSK</v>
      </c>
      <c r="D85" s="5" cm="1">
        <f t="array" ref="D85">VALUE(_xlfn.TEXTAFTER(_xlfn.TEXTBEFORE(_xlfn.TEXTAFTER(A85,"-",2),"-"),"a"))</f>
        <v>6</v>
      </c>
      <c r="E85" s="5" cm="1">
        <f t="array" ref="E85">VALUE(_xlfn.TEXTAFTER(_xlfn.TEXTAFTER(A85,"-",2),"b"))</f>
        <v>4</v>
      </c>
      <c r="F85" t="s" s="2">
        <v>177</v>
      </c>
      <c r="G85" t="str" s="4">
        <v>P02789</v>
      </c>
      <c r="H85" t="s" s="2">
        <v>177</v>
      </c>
      <c r="I85" t="str" s="4">
        <v>P02789</v>
      </c>
      <c r="J85" s="6">
        <v>588</v>
      </c>
      <c r="K85" s="6">
        <v>418</v>
      </c>
      <c r="L85" s="5">
        <v>3329.589</v>
      </c>
      <c r="M85" s="5">
        <v>555.939</v>
      </c>
      <c r="N85" s="5">
        <v>6</v>
      </c>
      <c r="O85" s="5">
        <v>3.7</v>
      </c>
      <c r="P85" s="5">
        <v>0.1</v>
      </c>
      <c r="Q85" s="5">
        <v>0.62</v>
      </c>
      <c r="R85" s="7">
        <v>21.32</v>
      </c>
      <c r="S85" s="10">
        <v>19.8</v>
      </c>
      <c r="T85" s="4"/>
      <c r="U85" t="s" s="2">
        <v>25</v>
      </c>
    </row>
    <row r="86" ht="13.55" customHeight="1">
      <c r="A86" t="s" s="2">
        <v>199</v>
      </c>
      <c r="B86" t="str" s="4" cm="1">
        <f t="array" ref="B86">_xlfn.TEXTBEFORE(A86,"-")</f>
        <v>ECNLAEVPTHAVVVRPEK</v>
      </c>
      <c r="C86" t="str" s="4" cm="1">
        <f t="array" ref="C86">_xlfn.TEXTBEFORE(_xlfn.TEXTAFTER(A86,"-"),"-")</f>
        <v>TDERPASYFAVAVAR</v>
      </c>
      <c r="D86" s="5" cm="1">
        <f t="array" ref="D86">VALUE(_xlfn.TEXTAFTER(_xlfn.TEXTBEFORE(_xlfn.TEXTAFTER(A86,"-",2),"-"),"a"))</f>
        <v>6</v>
      </c>
      <c r="E86" s="5" cm="1">
        <f t="array" ref="E86">VALUE(_xlfn.TEXTAFTER(_xlfn.TEXTAFTER(A86,"-",2),"b"))</f>
        <v>2</v>
      </c>
      <c r="F86" t="s" s="2">
        <v>177</v>
      </c>
      <c r="G86" t="str" s="4">
        <v>P02789</v>
      </c>
      <c r="H86" t="s" s="2">
        <v>177</v>
      </c>
      <c r="I86" t="str" s="4">
        <v>P02789</v>
      </c>
      <c r="J86" s="6">
        <v>588</v>
      </c>
      <c r="K86" s="6">
        <v>425</v>
      </c>
      <c r="L86" s="5">
        <v>3851.019</v>
      </c>
      <c r="M86" s="5">
        <v>771.212</v>
      </c>
      <c r="N86" s="5">
        <v>5</v>
      </c>
      <c r="O86" s="5">
        <v>7.6</v>
      </c>
      <c r="P86" s="5">
        <v>0.22</v>
      </c>
      <c r="Q86" s="5">
        <v>0.6899999999999999</v>
      </c>
      <c r="R86" s="7">
        <v>19.54</v>
      </c>
      <c r="S86" t="s" s="3">
        <v>51</v>
      </c>
      <c r="T86" s="4"/>
      <c r="U86" t="s" s="2">
        <v>25</v>
      </c>
    </row>
    <row r="87" ht="13.55" customHeight="1">
      <c r="A87" t="s" s="2">
        <v>200</v>
      </c>
      <c r="B87" t="str" s="4" cm="1">
        <f t="array" ref="B87">_xlfn.TEXTBEFORE(A87,"-")</f>
        <v>WCTISSPEEK</v>
      </c>
      <c r="C87" t="str" s="4" cm="1">
        <f t="array" ref="C87">_xlfn.TEXTBEFORE(_xlfn.TEXTAFTER(A87,"-"),"-")</f>
        <v>DLTQQER</v>
      </c>
      <c r="D87" s="5" cm="1">
        <f t="array" ref="D87">VALUE(_xlfn.TEXTAFTER(_xlfn.TEXTBEFORE(_xlfn.TEXTAFTER(A87,"-",2),"-"),"a"))</f>
        <v>8</v>
      </c>
      <c r="E87" s="5" cm="1">
        <f t="array" ref="E87">VALUE(_xlfn.TEXTAFTER(_xlfn.TEXTAFTER(A87,"-",2),"b"))</f>
        <v>1</v>
      </c>
      <c r="F87" t="s" s="2">
        <v>177</v>
      </c>
      <c r="G87" t="str" s="4">
        <v>P02789</v>
      </c>
      <c r="H87" t="s" s="2">
        <v>177</v>
      </c>
      <c r="I87" t="str" s="4">
        <v>P02789</v>
      </c>
      <c r="J87" t="s" s="3">
        <v>202</v>
      </c>
      <c r="K87" s="6">
        <v>25</v>
      </c>
      <c r="L87" s="5">
        <v>2276.097</v>
      </c>
      <c r="M87" s="5">
        <v>570.032</v>
      </c>
      <c r="N87" s="5">
        <v>4</v>
      </c>
      <c r="O87" s="5">
        <v>4.9</v>
      </c>
      <c r="P87" s="5">
        <v>0.17</v>
      </c>
      <c r="Q87" s="5">
        <v>0.54</v>
      </c>
      <c r="R87" s="7">
        <v>19.2</v>
      </c>
      <c r="S87" t="s" s="9">
        <v>203</v>
      </c>
      <c r="T87" s="4"/>
      <c r="U87" t="s" s="2">
        <v>25</v>
      </c>
    </row>
    <row r="88" ht="13.55" customHeight="1">
      <c r="A88" t="s" s="2">
        <v>204</v>
      </c>
      <c r="B88" t="str" s="4" cm="1">
        <f t="array" ref="B88">_xlfn.TEXTBEFORE(A88,"-")</f>
        <v>WCTISSPEEK</v>
      </c>
      <c r="C88" t="str" s="4" cm="1">
        <f t="array" ref="C88">_xlfn.TEXTBEFORE(_xlfn.TEXTAFTER(A88,"-"),"-")</f>
        <v>DLTQQER</v>
      </c>
      <c r="D88" s="5" cm="1">
        <f t="array" ref="D88">VALUE(_xlfn.TEXTAFTER(_xlfn.TEXTBEFORE(_xlfn.TEXTAFTER(A88,"-",2),"-"),"a"))</f>
        <v>9</v>
      </c>
      <c r="E88" s="5" cm="1">
        <f t="array" ref="E88">VALUE(_xlfn.TEXTAFTER(_xlfn.TEXTAFTER(A88,"-",2),"b"))</f>
        <v>1</v>
      </c>
      <c r="F88" t="s" s="2">
        <v>177</v>
      </c>
      <c r="G88" t="str" s="4">
        <v>P02789</v>
      </c>
      <c r="H88" t="s" s="2">
        <v>177</v>
      </c>
      <c r="I88" t="str" s="4">
        <v>P02789</v>
      </c>
      <c r="J88" t="s" s="3">
        <v>202</v>
      </c>
      <c r="K88" s="6">
        <v>25</v>
      </c>
      <c r="L88" s="5">
        <v>2276.097</v>
      </c>
      <c r="M88" s="5">
        <v>570.032</v>
      </c>
      <c r="N88" s="5">
        <v>4</v>
      </c>
      <c r="O88" s="5">
        <v>4.9</v>
      </c>
      <c r="P88" s="5">
        <v>0.17</v>
      </c>
      <c r="Q88" s="5">
        <v>0.54</v>
      </c>
      <c r="R88" s="7">
        <v>19.2</v>
      </c>
      <c r="S88" t="s" s="9">
        <v>203</v>
      </c>
      <c r="T88" s="4"/>
      <c r="U88" t="s" s="2">
        <v>25</v>
      </c>
    </row>
    <row r="89" ht="13.55" customHeight="1">
      <c r="A89" t="s" s="2">
        <v>205</v>
      </c>
      <c r="B89" t="str" s="4" cm="1">
        <f t="array" ref="B89">_xlfn.TEXTBEFORE(A89,"-")</f>
        <v>HTTVNENAPDQK</v>
      </c>
      <c r="C89" t="str" s="4" cm="1">
        <f t="array" ref="C89">_xlfn.TEXTBEFORE(_xlfn.TEXTAFTER(A89,"-"),"-")</f>
        <v>GDVAFVK</v>
      </c>
      <c r="D89" s="5" cm="1">
        <f t="array" ref="D89">VALUE(_xlfn.TEXTAFTER(_xlfn.TEXTBEFORE(_xlfn.TEXTAFTER(A89,"-",2),"-"),"a"))</f>
        <v>10</v>
      </c>
      <c r="E89" s="5" cm="1">
        <f t="array" ref="E89">VALUE(_xlfn.TEXTAFTER(_xlfn.TEXTAFTER(A89,"-",2),"b"))</f>
        <v>2</v>
      </c>
      <c r="F89" t="s" s="2">
        <v>177</v>
      </c>
      <c r="G89" t="str" s="4">
        <v>P02789</v>
      </c>
      <c r="H89" t="s" s="2">
        <v>177</v>
      </c>
      <c r="I89" t="str" s="4">
        <v>P02789</v>
      </c>
      <c r="J89" s="6">
        <v>219</v>
      </c>
      <c r="K89" s="6">
        <v>204</v>
      </c>
      <c r="L89" s="5">
        <v>2239.151</v>
      </c>
      <c r="M89" s="5">
        <v>560.796</v>
      </c>
      <c r="N89" s="5">
        <v>4</v>
      </c>
      <c r="O89" s="5">
        <v>7.3</v>
      </c>
      <c r="P89" s="5">
        <v>0.16</v>
      </c>
      <c r="Q89" s="5">
        <v>0.49</v>
      </c>
      <c r="R89" s="7">
        <v>18.86</v>
      </c>
      <c r="S89" s="10">
        <v>20.3</v>
      </c>
      <c r="T89" s="4"/>
      <c r="U89" t="s" s="2">
        <v>25</v>
      </c>
    </row>
    <row r="90" ht="13.55" customHeight="1">
      <c r="A90" t="s" s="2">
        <v>207</v>
      </c>
      <c r="B90" t="str" s="4" cm="1">
        <f t="array" ref="B90">_xlfn.TEXTBEFORE(A90,"-")</f>
        <v>ECNLAEVPTHAVVVRPEK</v>
      </c>
      <c r="C90" t="str" s="4" cm="1">
        <f t="array" ref="C90">_xlfn.TEXTBEFORE(_xlfn.TEXTAFTER(A90,"-"),"-")</f>
        <v>YDDESQCSK</v>
      </c>
      <c r="D90" s="5" cm="1">
        <f t="array" ref="D90">VALUE(_xlfn.TEXTAFTER(_xlfn.TEXTBEFORE(_xlfn.TEXTAFTER(A90,"-",2),"-"),"a"))</f>
        <v>1</v>
      </c>
      <c r="E90" s="5" cm="1">
        <f t="array" ref="E90">VALUE(_xlfn.TEXTAFTER(_xlfn.TEXTAFTER(A90,"-",2),"b"))</f>
        <v>4</v>
      </c>
      <c r="F90" t="s" s="2">
        <v>177</v>
      </c>
      <c r="G90" t="str" s="4">
        <v>P02789</v>
      </c>
      <c r="H90" t="s" s="2">
        <v>177</v>
      </c>
      <c r="I90" t="str" s="4">
        <v>P02789</v>
      </c>
      <c r="J90" s="6">
        <v>583</v>
      </c>
      <c r="K90" s="6">
        <v>418</v>
      </c>
      <c r="L90" s="5">
        <v>3329.594</v>
      </c>
      <c r="M90" s="5">
        <v>666.927</v>
      </c>
      <c r="N90" s="5">
        <v>5</v>
      </c>
      <c r="O90" s="5">
        <v>5.2</v>
      </c>
      <c r="P90" s="5">
        <v>0.1</v>
      </c>
      <c r="Q90" s="5">
        <v>0.85</v>
      </c>
      <c r="R90" s="7">
        <v>16.86</v>
      </c>
      <c r="S90" s="10">
        <v>24.4</v>
      </c>
      <c r="T90" s="4"/>
      <c r="U90" t="s" s="2">
        <v>25</v>
      </c>
    </row>
    <row r="91" ht="13.55" customHeight="1">
      <c r="A91" t="s" s="2">
        <v>208</v>
      </c>
      <c r="B91" t="str" s="4" cm="1">
        <f t="array" ref="B91">_xlfn.TEXTBEFORE(A91,"-")</f>
        <v>KGVNLPGAAVDLPAVSEK</v>
      </c>
      <c r="C91" t="str" s="4" cm="1">
        <f t="array" ref="C91">_xlfn.TEXTBEFORE(_xlfn.TEXTAFTER(A91,"-"),"-")</f>
        <v>AADVHEVR</v>
      </c>
      <c r="D91" s="5" cm="1">
        <f t="array" ref="D91">VALUE(_xlfn.TEXTAFTER(_xlfn.TEXTBEFORE(_xlfn.TEXTAFTER(A91,"-",2),"-"),"a"))</f>
        <v>11</v>
      </c>
      <c r="E91" s="5" cm="1">
        <f t="array" ref="E91">VALUE(_xlfn.TEXTAFTER(_xlfn.TEXTAFTER(A91,"-",2),"b"))</f>
        <v>6</v>
      </c>
      <c r="F91" t="s" s="2">
        <v>211</v>
      </c>
      <c r="G91" t="str" s="4">
        <v>P11974-1</v>
      </c>
      <c r="H91" t="s" s="2">
        <v>211</v>
      </c>
      <c r="I91" t="str" s="4">
        <v>P11974-1</v>
      </c>
      <c r="J91" s="6">
        <v>217</v>
      </c>
      <c r="K91" s="6">
        <v>253</v>
      </c>
      <c r="L91" s="5">
        <v>2811.553</v>
      </c>
      <c r="M91" s="5">
        <v>703.896</v>
      </c>
      <c r="N91" s="5">
        <v>4</v>
      </c>
      <c r="O91" s="5">
        <v>6.2</v>
      </c>
      <c r="P91" s="5">
        <v>0.16</v>
      </c>
      <c r="Q91" s="5">
        <v>0.62</v>
      </c>
      <c r="R91" s="7">
        <v>17.67</v>
      </c>
      <c r="S91" s="8">
        <v>15.5</v>
      </c>
      <c r="T91" s="4"/>
      <c r="U91" t="s" s="2">
        <v>25</v>
      </c>
    </row>
    <row r="92" ht="13.55" customHeight="1">
      <c r="A92" t="s" s="2">
        <v>213</v>
      </c>
      <c r="B92" t="str" s="4" cm="1">
        <f t="array" ref="B92">_xlfn.TEXTBEFORE(A92,"-")</f>
        <v>ECHLAQVPSHAVVAR</v>
      </c>
      <c r="C92" t="str" s="4" cm="1">
        <f t="array" ref="C92">_xlfn.TEXTBEFORE(_xlfn.TEXTAFTER(A92,"-"),"-")</f>
        <v>APVDAFK</v>
      </c>
      <c r="D92" s="5" cm="1">
        <f t="array" ref="D92">VALUE(_xlfn.TEXTAFTER(_xlfn.TEXTBEFORE(_xlfn.TEXTAFTER(A92,"-",2),"-"),"a"))</f>
        <v>1</v>
      </c>
      <c r="E92" s="5" cm="1">
        <f t="array" ref="E92">VALUE(_xlfn.TEXTAFTER(_xlfn.TEXTAFTER(A92,"-",2),"b"))</f>
        <v>4</v>
      </c>
      <c r="F92" t="s" s="2">
        <v>216</v>
      </c>
      <c r="G92" t="str" s="4">
        <v>P24627</v>
      </c>
      <c r="H92" t="s" s="2">
        <v>216</v>
      </c>
      <c r="I92" t="str" s="4">
        <v>P24627</v>
      </c>
      <c r="J92" s="6">
        <v>244</v>
      </c>
      <c r="K92" s="6">
        <v>240</v>
      </c>
      <c r="L92" s="5">
        <v>2571.362</v>
      </c>
      <c r="M92" s="5">
        <v>429.568</v>
      </c>
      <c r="N92" s="5">
        <v>6</v>
      </c>
      <c r="O92" s="5">
        <v>5</v>
      </c>
      <c r="P92" s="5">
        <v>0.27</v>
      </c>
      <c r="Q92" s="5">
        <v>0.6899999999999999</v>
      </c>
      <c r="R92" s="7">
        <v>26.73</v>
      </c>
      <c r="S92" s="10">
        <v>9.199999999999999</v>
      </c>
      <c r="T92" s="4"/>
      <c r="U92" t="s" s="2">
        <v>25</v>
      </c>
    </row>
    <row r="93" ht="13.55" customHeight="1">
      <c r="A93" t="s" s="2">
        <v>218</v>
      </c>
      <c r="B93" t="str" s="4" cm="1">
        <f t="array" ref="B93">_xlfn.TEXTBEFORE(A93,"-")</f>
        <v>GEGENQCACSSR</v>
      </c>
      <c r="C93" t="str" s="4" cm="1">
        <f t="array" ref="C93">_xlfn.TEXTBEFORE(_xlfn.TEXTAFTER(A93,"-"),"-")</f>
        <v>AFALECIR</v>
      </c>
      <c r="D93" s="5" cm="1">
        <f t="array" ref="D93">VALUE(_xlfn.TEXTAFTER(_xlfn.TEXTBEFORE(_xlfn.TEXTAFTER(A93,"-",2),"-"),"a"))</f>
        <v>4</v>
      </c>
      <c r="E93" s="5" cm="1">
        <f t="array" ref="E93">VALUE(_xlfn.TEXTAFTER(_xlfn.TEXTAFTER(A93,"-",2),"b"))</f>
        <v>5</v>
      </c>
      <c r="F93" t="s" s="2">
        <v>216</v>
      </c>
      <c r="G93" t="str" s="4">
        <v>P24627</v>
      </c>
      <c r="H93" t="s" s="2">
        <v>216</v>
      </c>
      <c r="I93" t="str" s="4">
        <v>P24627</v>
      </c>
      <c r="J93" s="6">
        <v>178</v>
      </c>
      <c r="K93" s="6">
        <v>44</v>
      </c>
      <c r="L93" s="5">
        <v>2484.115</v>
      </c>
      <c r="M93" s="5">
        <v>622.0359999999999</v>
      </c>
      <c r="N93" s="5">
        <v>4</v>
      </c>
      <c r="O93" s="5">
        <v>3.5</v>
      </c>
      <c r="P93" s="5">
        <v>0.29</v>
      </c>
      <c r="Q93" s="5">
        <v>0.32</v>
      </c>
      <c r="R93" s="7">
        <v>24.12</v>
      </c>
      <c r="S93" s="8">
        <v>18.8</v>
      </c>
      <c r="T93" s="4"/>
      <c r="U93" t="s" s="2">
        <v>25</v>
      </c>
    </row>
    <row r="94" ht="13.55" customHeight="1">
      <c r="A94" t="s" s="2">
        <v>221</v>
      </c>
      <c r="B94" t="str" s="4" cm="1">
        <f t="array" ref="B94">_xlfn.TEXTBEFORE(A94,"-")</f>
        <v>LGGRPTYEEYLGTEYVTAIANLK</v>
      </c>
      <c r="C94" t="str" s="4" cm="1">
        <f t="array" ref="C94">_xlfn.TEXTBEFORE(_xlfn.TEXTAFTER(A94,"-"),"-")</f>
        <v>ECHLAQVPSHAVVAR</v>
      </c>
      <c r="D94" s="5" cm="1">
        <f t="array" ref="D94">VALUE(_xlfn.TEXTAFTER(_xlfn.TEXTBEFORE(_xlfn.TEXTAFTER(A94,"-",2),"-"),"a"))</f>
        <v>8</v>
      </c>
      <c r="E94" s="5" cm="1">
        <f t="array" ref="E94">VALUE(_xlfn.TEXTAFTER(_xlfn.TEXTAFTER(A94,"-",2),"b"))</f>
        <v>1</v>
      </c>
      <c r="F94" t="s" s="2">
        <v>216</v>
      </c>
      <c r="G94" t="str" s="4">
        <v>P24627</v>
      </c>
      <c r="H94" t="s" s="2">
        <v>216</v>
      </c>
      <c r="I94" t="str" s="4">
        <v>P24627</v>
      </c>
      <c r="J94" t="s" s="3">
        <v>223</v>
      </c>
      <c r="K94" s="6">
        <v>244</v>
      </c>
      <c r="L94" s="5">
        <v>4382.287</v>
      </c>
      <c r="M94" s="5">
        <v>627.049</v>
      </c>
      <c r="N94" s="5">
        <v>7</v>
      </c>
      <c r="O94" s="5">
        <v>6.3</v>
      </c>
      <c r="P94" s="5">
        <v>0.22</v>
      </c>
      <c r="Q94" s="5">
        <v>0.72</v>
      </c>
      <c r="R94" s="7">
        <v>20.03</v>
      </c>
      <c r="S94" t="s" s="12">
        <v>224</v>
      </c>
      <c r="T94" s="4"/>
      <c r="U94" t="s" s="2">
        <v>25</v>
      </c>
    </row>
    <row r="95" ht="13.55" customHeight="1">
      <c r="A95" t="s" s="2">
        <v>225</v>
      </c>
      <c r="B95" t="str" s="4" cm="1">
        <f t="array" ref="B95">_xlfn.TEXTBEFORE(A95,"-")</f>
        <v>LGGRPTYEEYLGTEYVTAIANLK</v>
      </c>
      <c r="C95" t="str" s="4" cm="1">
        <f t="array" ref="C95">_xlfn.TEXTBEFORE(_xlfn.TEXTAFTER(A95,"-"),"-")</f>
        <v>ECHLAQVPSHAVVAR</v>
      </c>
      <c r="D95" s="5" cm="1">
        <f t="array" ref="D95">VALUE(_xlfn.TEXTAFTER(_xlfn.TEXTBEFORE(_xlfn.TEXTAFTER(A95,"-",2),"-"),"a"))</f>
        <v>9</v>
      </c>
      <c r="E95" s="5" cm="1">
        <f t="array" ref="E95">VALUE(_xlfn.TEXTAFTER(_xlfn.TEXTAFTER(A95,"-",2),"b"))</f>
        <v>1</v>
      </c>
      <c r="F95" t="s" s="2">
        <v>216</v>
      </c>
      <c r="G95" t="str" s="4">
        <v>P24627</v>
      </c>
      <c r="H95" t="s" s="2">
        <v>216</v>
      </c>
      <c r="I95" t="str" s="4">
        <v>P24627</v>
      </c>
      <c r="J95" t="s" s="3">
        <v>223</v>
      </c>
      <c r="K95" s="6">
        <v>244</v>
      </c>
      <c r="L95" s="5">
        <v>4382.287</v>
      </c>
      <c r="M95" s="5">
        <v>627.049</v>
      </c>
      <c r="N95" s="5">
        <v>7</v>
      </c>
      <c r="O95" s="5">
        <v>6.3</v>
      </c>
      <c r="P95" s="5">
        <v>0.22</v>
      </c>
      <c r="Q95" s="5">
        <v>0.72</v>
      </c>
      <c r="R95" s="7">
        <v>20.03</v>
      </c>
      <c r="S95" t="s" s="12">
        <v>224</v>
      </c>
      <c r="T95" s="4"/>
      <c r="U95" t="s" s="2">
        <v>25</v>
      </c>
    </row>
    <row r="96" ht="13.55" customHeight="1">
      <c r="A96" t="s" s="2">
        <v>226</v>
      </c>
      <c r="B96" t="str" s="4" cm="1">
        <f t="array" ref="B96">_xlfn.TEXTBEFORE(A96,"-")</f>
        <v>FFSASCVPCIDR</v>
      </c>
      <c r="C96" t="str" s="4" cm="1">
        <f t="array" ref="C96">_xlfn.TEXTBEFORE(_xlfn.TEXTAFTER(A96,"-"),"-")</f>
        <v>GEGENQCACSSR</v>
      </c>
      <c r="D96" s="5" cm="1">
        <f t="array" ref="D96">VALUE(_xlfn.TEXTAFTER(_xlfn.TEXTBEFORE(_xlfn.TEXTAFTER(A96,"-",2),"-"),"a"))</f>
        <v>11</v>
      </c>
      <c r="E96" s="5" cm="1">
        <f t="array" ref="E96">VALUE(_xlfn.TEXTAFTER(_xlfn.TEXTAFTER(A96,"-",2),"b"))</f>
        <v>2</v>
      </c>
      <c r="F96" t="s" s="2">
        <v>216</v>
      </c>
      <c r="G96" t="str" s="4">
        <v>P24627</v>
      </c>
      <c r="H96" t="s" s="2">
        <v>216</v>
      </c>
      <c r="I96" t="str" s="4">
        <v>P24627</v>
      </c>
      <c r="J96" s="6">
        <v>162</v>
      </c>
      <c r="K96" s="6">
        <v>176</v>
      </c>
      <c r="L96" s="5">
        <v>2963.267</v>
      </c>
      <c r="M96" s="5">
        <v>741.825</v>
      </c>
      <c r="N96" s="5">
        <v>4</v>
      </c>
      <c r="O96" s="5">
        <v>4.7</v>
      </c>
      <c r="P96" s="5">
        <v>0.14</v>
      </c>
      <c r="Q96" s="5">
        <v>0.3</v>
      </c>
      <c r="R96" s="7">
        <v>18.74</v>
      </c>
      <c r="S96" s="8">
        <v>15.8</v>
      </c>
      <c r="T96" s="4"/>
      <c r="U96" t="s" s="2">
        <v>25</v>
      </c>
    </row>
    <row r="97" ht="13.55" customHeight="1">
      <c r="A97" t="s" s="2">
        <v>228</v>
      </c>
      <c r="B97" t="str" s="4" cm="1">
        <f t="array" ref="B97">_xlfn.TEXTBEFORE(A97,"-")</f>
        <v>APVDAFKECHLAQVPSHAVVAR</v>
      </c>
      <c r="C97" t="str" s="4" cm="1">
        <f t="array" ref="C97">_xlfn.TEXTBEFORE(_xlfn.TEXTAFTER(A97,"-"),"-")</f>
        <v>ESPQTHYYAVAVVK</v>
      </c>
      <c r="D97" s="5" cm="1">
        <f t="array" ref="D97">VALUE(_xlfn.TEXTAFTER(_xlfn.TEXTBEFORE(_xlfn.TEXTAFTER(A97,"-",2),"-"),"a"))</f>
        <v>8</v>
      </c>
      <c r="E97" s="5" cm="1">
        <f t="array" ref="E97">VALUE(_xlfn.TEXTAFTER(_xlfn.TEXTAFTER(A97,"-",2),"b"))</f>
        <v>1</v>
      </c>
      <c r="F97" t="s" s="2">
        <v>216</v>
      </c>
      <c r="G97" t="str" s="4">
        <v>P24627</v>
      </c>
      <c r="H97" t="s" s="2">
        <v>216</v>
      </c>
      <c r="I97" t="str" s="4">
        <v>P24627</v>
      </c>
      <c r="J97" s="6">
        <v>244</v>
      </c>
      <c r="K97" s="6">
        <v>86</v>
      </c>
      <c r="L97" s="5">
        <v>4144.17</v>
      </c>
      <c r="M97" s="5">
        <v>593.032</v>
      </c>
      <c r="N97" s="5">
        <v>7</v>
      </c>
      <c r="O97" s="5">
        <v>6.5</v>
      </c>
      <c r="P97" s="5">
        <v>0.11</v>
      </c>
      <c r="Q97" s="5">
        <v>0.68</v>
      </c>
      <c r="R97" s="7">
        <v>16.5</v>
      </c>
      <c r="S97" s="8">
        <v>20.8</v>
      </c>
      <c r="T97" s="4"/>
      <c r="U97" t="s" s="2">
        <v>25</v>
      </c>
    </row>
    <row r="98" ht="13.55" customHeight="1">
      <c r="A98" t="s" s="2">
        <v>231</v>
      </c>
      <c r="B98" t="str" s="4" cm="1">
        <f t="array" ref="B98">_xlfn.TEXTBEFORE(A98,"-")</f>
        <v>TSDANINWNNLK</v>
      </c>
      <c r="C98" t="str" s="4" cm="1">
        <f t="array" ref="C98">_xlfn.TEXTBEFORE(_xlfn.TEXTAFTER(A98,"-"),"-")</f>
        <v>ENFEVLCK</v>
      </c>
      <c r="D98" s="5" cm="1">
        <f t="array" ref="D98">VALUE(_xlfn.TEXTAFTER(_xlfn.TEXTBEFORE(_xlfn.TEXTAFTER(A98,"-",2),"-"),"a"))</f>
        <v>3</v>
      </c>
      <c r="E98" s="5" cm="1">
        <f t="array" ref="E98">VALUE(_xlfn.TEXTAFTER(_xlfn.TEXTAFTER(A98,"-",2),"b"))</f>
        <v>4</v>
      </c>
      <c r="F98" t="s" s="2">
        <v>234</v>
      </c>
      <c r="G98" t="str" s="4">
        <v>Q29443</v>
      </c>
      <c r="H98" t="s" s="2">
        <v>234</v>
      </c>
      <c r="I98" t="str" s="4">
        <v>Q29443</v>
      </c>
      <c r="J98" s="6">
        <v>459</v>
      </c>
      <c r="K98" s="6">
        <v>586</v>
      </c>
      <c r="L98" s="5">
        <v>2578.27</v>
      </c>
      <c r="M98" s="5">
        <v>645.575</v>
      </c>
      <c r="N98" s="5">
        <v>4</v>
      </c>
      <c r="O98" s="5">
        <v>4</v>
      </c>
      <c r="P98" s="5">
        <v>0.24</v>
      </c>
      <c r="Q98" s="5">
        <v>0.61</v>
      </c>
      <c r="R98" s="7">
        <v>24.14</v>
      </c>
      <c r="S98" t="s" s="13">
        <v>236</v>
      </c>
      <c r="T98" s="4"/>
      <c r="U98" t="s" s="2">
        <v>25</v>
      </c>
    </row>
    <row r="99" ht="13.55" customHeight="1">
      <c r="A99" t="s" s="2">
        <v>237</v>
      </c>
      <c r="B99" t="str" s="4" cm="1">
        <f t="array" ref="B99">_xlfn.TEXTBEFORE(A99,"-")</f>
        <v>DKPDNFQLFQSPHGK</v>
      </c>
      <c r="C99" t="str" s="4" cm="1">
        <f t="array" ref="C99">_xlfn.TEXTBEFORE(_xlfn.TEXTAFTER(A99,"-"),"-")</f>
        <v>ILESGPFVSCVK</v>
      </c>
      <c r="D99" s="5" cm="1">
        <f t="array" ref="D99">VALUE(_xlfn.TEXTAFTER(_xlfn.TEXTBEFORE(_xlfn.TEXTAFTER(A99,"-",2),"-"),"a"))</f>
        <v>4</v>
      </c>
      <c r="E99" s="5" cm="1">
        <f t="array" ref="E99">VALUE(_xlfn.TEXTAFTER(_xlfn.TEXTAFTER(A99,"-",2),"b"))</f>
        <v>3</v>
      </c>
      <c r="F99" t="s" s="2">
        <v>234</v>
      </c>
      <c r="G99" t="str" s="4">
        <v>Q29443</v>
      </c>
      <c r="H99" t="s" s="2">
        <v>234</v>
      </c>
      <c r="I99" t="str" s="4">
        <v>Q29443</v>
      </c>
      <c r="J99" s="6">
        <v>363</v>
      </c>
      <c r="K99" s="6">
        <v>50</v>
      </c>
      <c r="L99" s="5">
        <v>3243.673</v>
      </c>
      <c r="M99" s="5">
        <v>649.742</v>
      </c>
      <c r="N99" s="5">
        <v>5</v>
      </c>
      <c r="O99" s="5">
        <v>7</v>
      </c>
      <c r="P99" s="5">
        <v>0.29</v>
      </c>
      <c r="Q99" s="5">
        <v>0.53</v>
      </c>
      <c r="R99" s="7">
        <v>22.02</v>
      </c>
      <c r="S99" t="s" s="13">
        <v>236</v>
      </c>
      <c r="T99" s="4"/>
      <c r="U99" t="s" s="2">
        <v>25</v>
      </c>
    </row>
    <row r="100" ht="13.55" customHeight="1">
      <c r="A100" t="s" s="2">
        <v>240</v>
      </c>
      <c r="B100" t="str" s="4" cm="1">
        <f t="array" ref="B100">_xlfn.TEXTBEFORE(A100,"-")</f>
        <v>KPVTDAENCHLAR</v>
      </c>
      <c r="C100" t="str" s="4" cm="1">
        <f t="array" ref="C100">_xlfn.TEXTBEFORE(_xlfn.TEXTAFTER(A100,"-"),"-")</f>
        <v>ENFEVLCK</v>
      </c>
      <c r="D100" s="5" cm="1">
        <f t="array" ref="D100">VALUE(_xlfn.TEXTAFTER(_xlfn.TEXTBEFORE(_xlfn.TEXTAFTER(A100,"-",2),"-"),"a"))</f>
        <v>5</v>
      </c>
      <c r="E100" s="5" cm="1">
        <f t="array" ref="E100">VALUE(_xlfn.TEXTAFTER(_xlfn.TEXTAFTER(A100,"-",2),"b"))</f>
        <v>4</v>
      </c>
      <c r="F100" t="s" s="2">
        <v>234</v>
      </c>
      <c r="G100" t="str" s="4">
        <v>Q29443</v>
      </c>
      <c r="H100" t="s" s="2">
        <v>234</v>
      </c>
      <c r="I100" t="str" s="4">
        <v>Q29443</v>
      </c>
      <c r="J100" s="6">
        <v>599</v>
      </c>
      <c r="K100" s="6">
        <v>586</v>
      </c>
      <c r="L100" s="5">
        <v>2699.339</v>
      </c>
      <c r="M100" s="5">
        <v>540.876</v>
      </c>
      <c r="N100" s="5">
        <v>5</v>
      </c>
      <c r="O100" s="5">
        <v>4.4</v>
      </c>
      <c r="P100" s="5">
        <v>0.18</v>
      </c>
      <c r="Q100" s="5">
        <v>0.77</v>
      </c>
      <c r="R100" s="7">
        <v>21.59</v>
      </c>
      <c r="S100" t="s" s="13">
        <v>236</v>
      </c>
      <c r="T100" s="4"/>
      <c r="U100" t="s" s="2">
        <v>25</v>
      </c>
    </row>
    <row r="101" ht="13.55" customHeight="1">
      <c r="A101" t="s" s="2">
        <v>242</v>
      </c>
      <c r="B101" t="str" s="4" cm="1">
        <f t="array" ref="B101">_xlfn.TEXTBEFORE(A101,"-")</f>
        <v>KPVTDAENCHLAR</v>
      </c>
      <c r="C101" t="str" s="4" cm="1">
        <f t="array" ref="C101">_xlfn.TEXTBEFORE(_xlfn.TEXTAFTER(A101,"-"),"-")</f>
        <v>KENFEVLCK</v>
      </c>
      <c r="D101" s="5" cm="1">
        <f t="array" ref="D101">VALUE(_xlfn.TEXTAFTER(_xlfn.TEXTBEFORE(_xlfn.TEXTAFTER(A101,"-",2),"-"),"a"))</f>
        <v>5</v>
      </c>
      <c r="E101" s="5" cm="1">
        <f t="array" ref="E101">VALUE(_xlfn.TEXTAFTER(_xlfn.TEXTAFTER(A101,"-",2),"b"))</f>
        <v>2</v>
      </c>
      <c r="F101" t="s" s="2">
        <v>234</v>
      </c>
      <c r="G101" t="str" s="4">
        <v>Q29443</v>
      </c>
      <c r="H101" t="s" s="2">
        <v>234</v>
      </c>
      <c r="I101" t="str" s="4">
        <v>Q29443</v>
      </c>
      <c r="J101" s="6">
        <v>599</v>
      </c>
      <c r="K101" s="6">
        <v>583</v>
      </c>
      <c r="L101" s="5">
        <v>2827.432</v>
      </c>
      <c r="M101" s="5">
        <v>566.494</v>
      </c>
      <c r="N101" s="5">
        <v>5</v>
      </c>
      <c r="O101" s="5">
        <v>3.6</v>
      </c>
      <c r="P101" s="5">
        <v>0.23</v>
      </c>
      <c r="Q101" s="5">
        <v>0.6</v>
      </c>
      <c r="R101" s="7">
        <v>21.53</v>
      </c>
      <c r="S101" t="s" s="13">
        <v>236</v>
      </c>
      <c r="T101" s="4"/>
      <c r="U101" t="s" s="2">
        <v>25</v>
      </c>
    </row>
    <row r="102" ht="13.55" customHeight="1">
      <c r="A102" t="s" s="2">
        <v>244</v>
      </c>
      <c r="B102" t="str" s="4" cm="1">
        <f t="array" ref="B102">_xlfn.TEXTBEFORE(A102,"-")</f>
        <v>DKPDNFQLFQSPHGK</v>
      </c>
      <c r="C102" t="str" s="4" cm="1">
        <f t="array" ref="C102">_xlfn.TEXTBEFORE(_xlfn.TEXTAFTER(A102,"-"),"-")</f>
        <v>DNPQTHYYAVAVVK</v>
      </c>
      <c r="D102" s="5" cm="1">
        <f t="array" ref="D102">VALUE(_xlfn.TEXTAFTER(_xlfn.TEXTBEFORE(_xlfn.TEXTAFTER(A102,"-",2),"-"),"a"))</f>
        <v>4</v>
      </c>
      <c r="E102" s="5" cm="1">
        <f t="array" ref="E102">VALUE(_xlfn.TEXTAFTER(_xlfn.TEXTAFTER(A102,"-",2),"b"))</f>
        <v>1</v>
      </c>
      <c r="F102" t="s" s="2">
        <v>234</v>
      </c>
      <c r="G102" t="str" s="4">
        <v>Q29443</v>
      </c>
      <c r="H102" t="s" s="2">
        <v>234</v>
      </c>
      <c r="I102" t="str" s="4">
        <v>Q29443</v>
      </c>
      <c r="J102" s="6">
        <v>363</v>
      </c>
      <c r="K102" s="6">
        <v>107</v>
      </c>
      <c r="L102" s="5">
        <v>3512.782</v>
      </c>
      <c r="M102" s="5">
        <v>586.471</v>
      </c>
      <c r="N102" s="5">
        <v>6</v>
      </c>
      <c r="O102" s="5">
        <v>6.5</v>
      </c>
      <c r="P102" s="5">
        <v>0.14</v>
      </c>
      <c r="Q102" s="5">
        <v>0.53</v>
      </c>
      <c r="R102" s="7">
        <v>21.23</v>
      </c>
      <c r="S102" t="s" s="13">
        <v>236</v>
      </c>
      <c r="T102" s="4"/>
      <c r="U102" t="s" s="2">
        <v>25</v>
      </c>
    </row>
    <row r="103" ht="13.55" customHeight="1">
      <c r="A103" t="s" s="2">
        <v>246</v>
      </c>
      <c r="B103" t="str" s="4" cm="1">
        <f t="array" ref="B103">_xlfn.TEXTBEFORE(A103,"-")</f>
        <v>SVDDYQECYLAMVPSHAVVAR</v>
      </c>
      <c r="C103" t="str" s="4" cm="1">
        <f t="array" ref="C103">_xlfn.TEXTBEFORE(_xlfn.TEXTAFTER(A103,"-"),"-")</f>
        <v>TYDSYLGDDYVR</v>
      </c>
      <c r="D103" s="5" cm="1">
        <f t="array" ref="D103">VALUE(_xlfn.TEXTAFTER(_xlfn.TEXTBEFORE(_xlfn.TEXTAFTER(A103,"-",2),"-"),"a"))</f>
        <v>4</v>
      </c>
      <c r="E103" s="5" cm="1">
        <f t="array" ref="E103">VALUE(_xlfn.TEXTAFTER(_xlfn.TEXTAFTER(A103,"-",2),"b"))</f>
        <v>3</v>
      </c>
      <c r="F103" t="s" s="2">
        <v>234</v>
      </c>
      <c r="G103" t="str" s="4">
        <v>Q29443</v>
      </c>
      <c r="H103" t="s" s="2">
        <v>234</v>
      </c>
      <c r="I103" t="str" s="4">
        <v>Q29443</v>
      </c>
      <c r="J103" s="6">
        <v>260</v>
      </c>
      <c r="K103" s="6">
        <v>673</v>
      </c>
      <c r="L103" s="5">
        <v>4026.881</v>
      </c>
      <c r="M103" s="5">
        <v>806.384</v>
      </c>
      <c r="N103" s="5">
        <v>5</v>
      </c>
      <c r="O103" s="5">
        <v>7.2</v>
      </c>
      <c r="P103" s="5">
        <v>0.32</v>
      </c>
      <c r="Q103" s="5">
        <v>0.48</v>
      </c>
      <c r="R103" s="7">
        <v>20.51</v>
      </c>
      <c r="S103" t="s" s="13">
        <v>236</v>
      </c>
      <c r="T103" s="4"/>
      <c r="U103" t="s" s="2">
        <v>25</v>
      </c>
    </row>
    <row r="104" ht="13.55" customHeight="1">
      <c r="A104" t="s" s="2">
        <v>249</v>
      </c>
      <c r="B104" t="str" s="4" cm="1">
        <f t="array" ref="B104">_xlfn.TEXTBEFORE(A104,"-")</f>
        <v>QQDDFGK</v>
      </c>
      <c r="C104" t="str" s="4" cm="1">
        <f t="array" ref="C104">_xlfn.TEXTBEFORE(_xlfn.TEXTAFTER(A104,"-"),"-")</f>
        <v>DECMVK</v>
      </c>
      <c r="D104" s="5" cm="1">
        <f t="array" ref="D104">VALUE(_xlfn.TEXTAFTER(_xlfn.TEXTBEFORE(_xlfn.TEXTAFTER(A104,"-",2),"-"),"a"))</f>
        <v>3</v>
      </c>
      <c r="E104" s="5" cm="1">
        <f t="array" ref="E104">VALUE(_xlfn.TEXTAFTER(_xlfn.TEXTAFTER(A104,"-",2),"b"))</f>
        <v>2</v>
      </c>
      <c r="F104" t="s" s="2">
        <v>234</v>
      </c>
      <c r="G104" t="str" s="4">
        <v>Q29443</v>
      </c>
      <c r="H104" t="s" s="2">
        <v>234</v>
      </c>
      <c r="I104" t="str" s="4">
        <v>Q29443</v>
      </c>
      <c r="J104" s="6">
        <v>633</v>
      </c>
      <c r="K104" t="s" s="3">
        <v>252</v>
      </c>
      <c r="L104" s="5">
        <v>1768.797</v>
      </c>
      <c r="M104" s="5">
        <v>443.207</v>
      </c>
      <c r="N104" s="5">
        <v>4</v>
      </c>
      <c r="O104" s="5">
        <v>5.4</v>
      </c>
      <c r="P104" s="5">
        <v>0.14</v>
      </c>
      <c r="Q104" s="5">
        <v>0</v>
      </c>
      <c r="R104" s="7">
        <v>20.44</v>
      </c>
      <c r="S104" t="s" s="13">
        <v>236</v>
      </c>
      <c r="T104" s="4"/>
      <c r="U104" t="s" s="2">
        <v>25</v>
      </c>
    </row>
    <row r="105" ht="13.55" customHeight="1">
      <c r="A105" t="s" s="2">
        <v>253</v>
      </c>
      <c r="B105" t="str" s="4" cm="1">
        <f t="array" ref="B105">_xlfn.TEXTBEFORE(A105,"-")</f>
        <v>QQDDFGK</v>
      </c>
      <c r="C105" t="str" s="4" cm="1">
        <f t="array" ref="C105">_xlfn.TEXTBEFORE(_xlfn.TEXTAFTER(A105,"-"),"-")</f>
        <v>DECMVK</v>
      </c>
      <c r="D105" s="5" cm="1">
        <f t="array" ref="D105">VALUE(_xlfn.TEXTAFTER(_xlfn.TEXTBEFORE(_xlfn.TEXTAFTER(A105,"-",2),"-"),"a"))</f>
        <v>3</v>
      </c>
      <c r="E105" s="5" cm="1">
        <f t="array" ref="E105">VALUE(_xlfn.TEXTAFTER(_xlfn.TEXTAFTER(A105,"-",2),"b"))</f>
        <v>1</v>
      </c>
      <c r="F105" t="s" s="2">
        <v>234</v>
      </c>
      <c r="G105" t="str" s="4">
        <v>Q29443</v>
      </c>
      <c r="H105" t="s" s="2">
        <v>234</v>
      </c>
      <c r="I105" t="str" s="4">
        <v>Q29443</v>
      </c>
      <c r="J105" s="6">
        <v>633</v>
      </c>
      <c r="K105" t="s" s="3">
        <v>252</v>
      </c>
      <c r="L105" s="5">
        <v>1768.797</v>
      </c>
      <c r="M105" s="5">
        <v>443.207</v>
      </c>
      <c r="N105" s="5">
        <v>4</v>
      </c>
      <c r="O105" s="5">
        <v>5.4</v>
      </c>
      <c r="P105" s="5">
        <v>0.14</v>
      </c>
      <c r="Q105" s="5">
        <v>0</v>
      </c>
      <c r="R105" s="7">
        <v>20.44</v>
      </c>
      <c r="S105" t="s" s="13">
        <v>236</v>
      </c>
      <c r="T105" s="4"/>
      <c r="U105" t="s" s="2">
        <v>25</v>
      </c>
    </row>
    <row r="106" ht="13.55" customHeight="1">
      <c r="A106" t="s" s="2">
        <v>254</v>
      </c>
      <c r="B106" t="str" s="4" cm="1">
        <f t="array" ref="B106">_xlfn.TEXTBEFORE(A106,"-")</f>
        <v>QQDDFGK</v>
      </c>
      <c r="C106" t="str" s="4" cm="1">
        <f t="array" ref="C106">_xlfn.TEXTBEFORE(_xlfn.TEXTAFTER(A106,"-"),"-")</f>
        <v>DECMVK</v>
      </c>
      <c r="D106" s="5" cm="1">
        <f t="array" ref="D106">VALUE(_xlfn.TEXTAFTER(_xlfn.TEXTBEFORE(_xlfn.TEXTAFTER(A106,"-",2),"-"),"a"))</f>
        <v>4</v>
      </c>
      <c r="E106" s="5" cm="1">
        <f t="array" ref="E106">VALUE(_xlfn.TEXTAFTER(_xlfn.TEXTAFTER(A106,"-",2),"b"))</f>
        <v>2</v>
      </c>
      <c r="F106" t="s" s="2">
        <v>234</v>
      </c>
      <c r="G106" t="str" s="4">
        <v>Q29443</v>
      </c>
      <c r="H106" t="s" s="2">
        <v>234</v>
      </c>
      <c r="I106" t="str" s="4">
        <v>Q29443</v>
      </c>
      <c r="J106" s="6">
        <v>634</v>
      </c>
      <c r="K106" s="6">
        <v>361</v>
      </c>
      <c r="L106" s="5">
        <v>1768.797</v>
      </c>
      <c r="M106" s="5">
        <v>443.207</v>
      </c>
      <c r="N106" s="5">
        <v>4</v>
      </c>
      <c r="O106" s="5">
        <v>5.6</v>
      </c>
      <c r="P106" s="5">
        <v>0.11</v>
      </c>
      <c r="Q106" s="5">
        <v>0.67</v>
      </c>
      <c r="R106" s="7">
        <v>20.13</v>
      </c>
      <c r="S106" t="s" s="13">
        <v>236</v>
      </c>
      <c r="T106" s="4"/>
      <c r="U106" t="s" s="2">
        <v>25</v>
      </c>
    </row>
    <row r="107" ht="13.55" customHeight="1">
      <c r="A107" t="s" s="2">
        <v>255</v>
      </c>
      <c r="B107" t="str" s="4" cm="1">
        <f t="array" ref="B107">_xlfn.TEXTBEFORE(A107,"-")</f>
        <v>HSTVFDNLPNPEDRK</v>
      </c>
      <c r="C107" t="str" s="4" cm="1">
        <f t="array" ref="C107">_xlfn.TEXTBEFORE(_xlfn.TEXTAFTER(A107,"-"),"-")</f>
        <v>CLMEGAGDVAFVK</v>
      </c>
      <c r="D107" s="5" cm="1">
        <f t="array" ref="D107">VALUE(_xlfn.TEXTAFTER(_xlfn.TEXTBEFORE(_xlfn.TEXTAFTER(A107,"-",2),"-"),"a"))</f>
        <v>12</v>
      </c>
      <c r="E107" s="5" cm="1">
        <f t="array" ref="E107">VALUE(_xlfn.TEXTAFTER(_xlfn.TEXTAFTER(A107,"-",2),"b"))</f>
        <v>4</v>
      </c>
      <c r="F107" t="s" s="2">
        <v>234</v>
      </c>
      <c r="G107" t="str" s="4">
        <v>Q29443</v>
      </c>
      <c r="H107" t="s" s="2">
        <v>234</v>
      </c>
      <c r="I107" t="str" s="4">
        <v>Q29443</v>
      </c>
      <c r="J107" t="s" s="3">
        <v>258</v>
      </c>
      <c r="K107" s="6">
        <v>220</v>
      </c>
      <c r="L107" s="5">
        <v>3315.63</v>
      </c>
      <c r="M107" s="5">
        <v>664.134</v>
      </c>
      <c r="N107" s="5">
        <v>5</v>
      </c>
      <c r="O107" s="5">
        <v>5.2</v>
      </c>
      <c r="P107" s="5">
        <v>0.22</v>
      </c>
      <c r="Q107" s="5">
        <v>0.6899999999999999</v>
      </c>
      <c r="R107" s="7">
        <v>19.9</v>
      </c>
      <c r="S107" t="s" s="13">
        <v>236</v>
      </c>
      <c r="T107" s="4"/>
      <c r="U107" t="s" s="2">
        <v>25</v>
      </c>
    </row>
    <row r="108" ht="13.55" customHeight="1">
      <c r="A108" t="s" s="2">
        <v>259</v>
      </c>
      <c r="B108" t="str" s="4" cm="1">
        <f t="array" ref="B108">_xlfn.TEXTBEFORE(A108,"-")</f>
        <v>HSTVFDNLPNPEDRK</v>
      </c>
      <c r="C108" t="str" s="4" cm="1">
        <f t="array" ref="C108">_xlfn.TEXTBEFORE(_xlfn.TEXTAFTER(A108,"-"),"-")</f>
        <v>CLMEGAGDVAFVK</v>
      </c>
      <c r="D108" s="5" cm="1">
        <f t="array" ref="D108">VALUE(_xlfn.TEXTAFTER(_xlfn.TEXTBEFORE(_xlfn.TEXTAFTER(A108,"-",2),"-"),"a"))</f>
        <v>13</v>
      </c>
      <c r="E108" s="5" cm="1">
        <f t="array" ref="E108">VALUE(_xlfn.TEXTAFTER(_xlfn.TEXTAFTER(A108,"-",2),"b"))</f>
        <v>4</v>
      </c>
      <c r="F108" t="s" s="2">
        <v>234</v>
      </c>
      <c r="G108" t="str" s="4">
        <v>Q29443</v>
      </c>
      <c r="H108" t="s" s="2">
        <v>234</v>
      </c>
      <c r="I108" t="str" s="4">
        <v>Q29443</v>
      </c>
      <c r="J108" t="s" s="3">
        <v>258</v>
      </c>
      <c r="K108" s="6">
        <v>220</v>
      </c>
      <c r="L108" s="5">
        <v>3315.63</v>
      </c>
      <c r="M108" s="5">
        <v>664.134</v>
      </c>
      <c r="N108" s="5">
        <v>5</v>
      </c>
      <c r="O108" s="5">
        <v>5.2</v>
      </c>
      <c r="P108" s="5">
        <v>0.22</v>
      </c>
      <c r="Q108" s="5">
        <v>0.6899999999999999</v>
      </c>
      <c r="R108" s="7">
        <v>19.9</v>
      </c>
      <c r="S108" t="s" s="13">
        <v>236</v>
      </c>
      <c r="T108" s="4"/>
      <c r="U108" t="s" s="2">
        <v>25</v>
      </c>
    </row>
    <row r="109" ht="13.55" customHeight="1">
      <c r="A109" t="s" s="2">
        <v>260</v>
      </c>
      <c r="B109" t="str" s="4" cm="1">
        <f t="array" ref="B109">_xlfn.TEXTBEFORE(A109,"-")</f>
        <v>WSGFSGGAIECETAENTEECIAK</v>
      </c>
      <c r="C109" t="str" s="4" cm="1">
        <f t="array" ref="C109">_xlfn.TEXTBEFORE(_xlfn.TEXTAFTER(A109,"-"),"-")</f>
        <v>DECMVK</v>
      </c>
      <c r="D109" s="5" cm="1">
        <f t="array" ref="D109">VALUE(_xlfn.TEXTAFTER(_xlfn.TEXTBEFORE(_xlfn.TEXTAFTER(A109,"-",2),"-"),"a"))</f>
        <v>10</v>
      </c>
      <c r="E109" s="5" cm="1">
        <f t="array" ref="E109">VALUE(_xlfn.TEXTAFTER(_xlfn.TEXTAFTER(A109,"-",2),"b"))</f>
        <v>1</v>
      </c>
      <c r="F109" t="s" s="2">
        <v>234</v>
      </c>
      <c r="G109" t="str" s="4">
        <v>Q29443</v>
      </c>
      <c r="H109" t="s" s="2">
        <v>234</v>
      </c>
      <c r="I109" t="str" s="4">
        <v>Q29443</v>
      </c>
      <c r="J109" s="6">
        <v>389</v>
      </c>
      <c r="K109" s="6">
        <v>360</v>
      </c>
      <c r="L109" s="5">
        <v>3477.522</v>
      </c>
      <c r="M109" s="5">
        <v>870.388</v>
      </c>
      <c r="N109" s="5">
        <v>4</v>
      </c>
      <c r="O109" s="5">
        <v>7.9</v>
      </c>
      <c r="P109" s="5">
        <v>0.14</v>
      </c>
      <c r="Q109" s="5">
        <v>0.18</v>
      </c>
      <c r="R109" s="7">
        <v>19.67</v>
      </c>
      <c r="S109" t="s" s="13">
        <v>236</v>
      </c>
      <c r="T109" s="4"/>
      <c r="U109" t="s" s="2">
        <v>25</v>
      </c>
    </row>
    <row r="110" ht="13.55" customHeight="1">
      <c r="A110" t="s" s="2">
        <v>262</v>
      </c>
      <c r="B110" t="str" s="4" cm="1">
        <f t="array" ref="B110">_xlfn.TEXTBEFORE(A110,"-")</f>
        <v>HSTVFDNLPNPEDRK</v>
      </c>
      <c r="C110" t="str" s="4" cm="1">
        <f t="array" ref="C110">_xlfn.TEXTBEFORE(_xlfn.TEXTAFTER(A110,"-"),"-")</f>
        <v>LLEACTFHKP</v>
      </c>
      <c r="D110" s="5" cm="1">
        <f t="array" ref="D110">VALUE(_xlfn.TEXTAFTER(_xlfn.TEXTBEFORE(_xlfn.TEXTAFTER(A110,"-",2),"-"),"a"))</f>
        <v>6</v>
      </c>
      <c r="E110" s="5" cm="1">
        <f t="array" ref="E110">VALUE(_xlfn.TEXTAFTER(_xlfn.TEXTAFTER(A110,"-",2),"b"))</f>
        <v>3</v>
      </c>
      <c r="F110" t="s" s="2">
        <v>234</v>
      </c>
      <c r="G110" t="str" s="4">
        <v>Q29443</v>
      </c>
      <c r="H110" t="s" s="2">
        <v>234</v>
      </c>
      <c r="I110" t="str" s="4">
        <v>Q29443</v>
      </c>
      <c r="J110" s="6">
        <v>235</v>
      </c>
      <c r="K110" s="6">
        <v>697</v>
      </c>
      <c r="L110" s="5">
        <v>3134.59</v>
      </c>
      <c r="M110" s="5">
        <v>627.926</v>
      </c>
      <c r="N110" s="5">
        <v>5</v>
      </c>
      <c r="O110" s="5">
        <v>5.6</v>
      </c>
      <c r="P110" s="5">
        <v>0.53</v>
      </c>
      <c r="Q110" s="5">
        <v>0.73</v>
      </c>
      <c r="R110" s="7">
        <v>18.82</v>
      </c>
      <c r="S110" t="s" s="13">
        <v>236</v>
      </c>
      <c r="T110" s="4"/>
      <c r="U110" t="s" s="2">
        <v>25</v>
      </c>
    </row>
    <row r="111" ht="13.55" customHeight="1">
      <c r="A111" t="s" s="2">
        <v>264</v>
      </c>
      <c r="B111" t="str" s="4" cm="1">
        <f t="array" ref="B111">_xlfn.TEXTBEFORE(A111,"-")</f>
        <v>ESKPPDSSKDECMVK</v>
      </c>
      <c r="C111" t="str" s="4" cm="1">
        <f t="array" ref="C111">_xlfn.TEXTBEFORE(_xlfn.TEXTAFTER(A111,"-"),"-")</f>
        <v>ELPDPQESIQR</v>
      </c>
      <c r="D111" s="5" cm="1">
        <f t="array" ref="D111">VALUE(_xlfn.TEXTAFTER(_xlfn.TEXTBEFORE(_xlfn.TEXTAFTER(A111,"-",2),"-"),"a"))</f>
        <v>10</v>
      </c>
      <c r="E111" s="5" cm="1">
        <f t="array" ref="E111">VALUE(_xlfn.TEXTAFTER(_xlfn.TEXTAFTER(A111,"-",2),"b"))</f>
        <v>4</v>
      </c>
      <c r="F111" t="s" s="2">
        <v>234</v>
      </c>
      <c r="G111" t="str" s="4">
        <v>Q29443</v>
      </c>
      <c r="H111" t="s" s="2">
        <v>234</v>
      </c>
      <c r="I111" t="str" s="4">
        <v>Q29443</v>
      </c>
      <c r="J111" s="6">
        <v>364</v>
      </c>
      <c r="K111" t="s" s="3">
        <v>267</v>
      </c>
      <c r="L111" s="5">
        <v>3198.542</v>
      </c>
      <c r="M111" s="5">
        <v>640.716</v>
      </c>
      <c r="N111" s="5">
        <v>5</v>
      </c>
      <c r="O111" s="5">
        <v>4.2</v>
      </c>
      <c r="P111" s="5">
        <v>0.24</v>
      </c>
      <c r="Q111" s="5">
        <v>0.72</v>
      </c>
      <c r="R111" s="7">
        <v>17.32</v>
      </c>
      <c r="S111" t="s" s="13">
        <v>236</v>
      </c>
      <c r="T111" s="4"/>
      <c r="U111" t="s" s="2">
        <v>25</v>
      </c>
    </row>
    <row r="112" ht="13.55" customHeight="1">
      <c r="A112" t="s" s="2">
        <v>268</v>
      </c>
      <c r="B112" t="str" s="4" cm="1">
        <f t="array" ref="B112">_xlfn.TEXTBEFORE(A112,"-")</f>
        <v>ESKPPDSSKDECMVK</v>
      </c>
      <c r="C112" t="str" s="4" cm="1">
        <f t="array" ref="C112">_xlfn.TEXTBEFORE(_xlfn.TEXTAFTER(A112,"-"),"-")</f>
        <v>ELPDPQESIQR</v>
      </c>
      <c r="D112" s="5" cm="1">
        <f t="array" ref="D112">VALUE(_xlfn.TEXTAFTER(_xlfn.TEXTBEFORE(_xlfn.TEXTAFTER(A112,"-",2),"-"),"a"))</f>
        <v>10</v>
      </c>
      <c r="E112" s="5" cm="1">
        <f t="array" ref="E112">VALUE(_xlfn.TEXTAFTER(_xlfn.TEXTAFTER(A112,"-",2),"b"))</f>
        <v>7</v>
      </c>
      <c r="F112" t="s" s="2">
        <v>234</v>
      </c>
      <c r="G112" t="str" s="4">
        <v>Q29443</v>
      </c>
      <c r="H112" t="s" s="2">
        <v>234</v>
      </c>
      <c r="I112" t="str" s="4">
        <v>Q29443</v>
      </c>
      <c r="J112" s="6">
        <v>364</v>
      </c>
      <c r="K112" t="s" s="3">
        <v>267</v>
      </c>
      <c r="L112" s="5">
        <v>3198.542</v>
      </c>
      <c r="M112" s="5">
        <v>640.716</v>
      </c>
      <c r="N112" s="5">
        <v>5</v>
      </c>
      <c r="O112" s="5">
        <v>4.2</v>
      </c>
      <c r="P112" s="5">
        <v>0.24</v>
      </c>
      <c r="Q112" s="5">
        <v>0.72</v>
      </c>
      <c r="R112" s="7">
        <v>17.32</v>
      </c>
      <c r="S112" t="s" s="13">
        <v>236</v>
      </c>
      <c r="T112" s="4"/>
      <c r="U112" t="s" s="2">
        <v>25</v>
      </c>
    </row>
    <row r="113" ht="13.55" customHeight="1">
      <c r="A113" t="s" s="2">
        <v>269</v>
      </c>
      <c r="B113" t="str" s="4" cm="1">
        <f t="array" ref="B113">_xlfn.TEXTBEFORE(A113,"-")</f>
        <v>TVGGKEDVIWELLNHAQEHFGK</v>
      </c>
      <c r="C113" t="str" s="4" cm="1">
        <f t="array" ref="C113">_xlfn.TEXTBEFORE(_xlfn.TEXTAFTER(A113,"-"),"-")</f>
        <v>ILESGPFVSCVK</v>
      </c>
      <c r="D113" s="5" cm="1">
        <f t="array" ref="D113">VALUE(_xlfn.TEXTAFTER(_xlfn.TEXTBEFORE(_xlfn.TEXTAFTER(A113,"-",2),"-"),"a"))</f>
        <v>18</v>
      </c>
      <c r="E113" s="5" cm="1">
        <f t="array" ref="E113">VALUE(_xlfn.TEXTAFTER(_xlfn.TEXTAFTER(A113,"-",2),"b"))</f>
        <v>3</v>
      </c>
      <c r="F113" t="s" s="2">
        <v>234</v>
      </c>
      <c r="G113" t="str" s="4">
        <v>Q29443</v>
      </c>
      <c r="H113" t="s" s="2">
        <v>234</v>
      </c>
      <c r="I113" t="str" s="4">
        <v>Q29443</v>
      </c>
      <c r="J113" s="6">
        <v>295</v>
      </c>
      <c r="K113" s="6">
        <v>50</v>
      </c>
      <c r="L113" s="5">
        <v>3993.077</v>
      </c>
      <c r="M113" s="5">
        <v>799.623</v>
      </c>
      <c r="N113" s="5">
        <v>5</v>
      </c>
      <c r="O113" s="5">
        <v>5</v>
      </c>
      <c r="P113" s="5">
        <v>0.19</v>
      </c>
      <c r="Q113" s="5">
        <v>0.59</v>
      </c>
      <c r="R113" s="7">
        <v>16.51</v>
      </c>
      <c r="S113" t="s" s="13">
        <v>236</v>
      </c>
      <c r="T113" s="4"/>
      <c r="U113" t="s" s="2">
        <v>25</v>
      </c>
    </row>
    <row r="114" ht="13.55" customHeight="1">
      <c r="A114" t="s" s="2">
        <v>271</v>
      </c>
      <c r="B114" t="str" s="4" cm="1">
        <f t="array" ref="B114">_xlfn.TEXTBEFORE(A114,"-")</f>
        <v>WSGFSGGAIECETAENTEECIAK</v>
      </c>
      <c r="C114" t="str" s="4" cm="1">
        <f t="array" ref="C114">_xlfn.TEXTBEFORE(_xlfn.TEXTAFTER(A114,"-"),"-")</f>
        <v>ESKPPDSSKDECMVK</v>
      </c>
      <c r="D114" s="5" cm="1">
        <f t="array" ref="D114">VALUE(_xlfn.TEXTAFTER(_xlfn.TEXTBEFORE(_xlfn.TEXTAFTER(A114,"-",2),"-"),"a"))</f>
        <v>10</v>
      </c>
      <c r="E114" s="5" cm="1">
        <f t="array" ref="E114">VALUE(_xlfn.TEXTAFTER(_xlfn.TEXTAFTER(A114,"-",2),"b"))</f>
        <v>6</v>
      </c>
      <c r="F114" t="s" s="2">
        <v>234</v>
      </c>
      <c r="G114" t="str" s="4">
        <v>Q29443</v>
      </c>
      <c r="H114" t="s" s="2">
        <v>234</v>
      </c>
      <c r="I114" t="str" s="4">
        <v>Q29443</v>
      </c>
      <c r="J114" s="6">
        <v>389</v>
      </c>
      <c r="K114" s="6">
        <v>360</v>
      </c>
      <c r="L114" s="5">
        <v>4432.98</v>
      </c>
      <c r="M114" s="5">
        <v>887.604</v>
      </c>
      <c r="N114" s="5">
        <v>5</v>
      </c>
      <c r="O114" s="5">
        <v>5.5</v>
      </c>
      <c r="P114" s="5">
        <v>0.16</v>
      </c>
      <c r="Q114" s="5">
        <v>0.72</v>
      </c>
      <c r="R114" s="7">
        <v>16.4</v>
      </c>
      <c r="S114" t="s" s="13">
        <v>236</v>
      </c>
      <c r="T114" s="4"/>
      <c r="U114" t="s" s="2">
        <v>25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