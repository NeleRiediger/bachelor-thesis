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odel proteins (PDH ZL)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<sst xmlns="http://schemas.openxmlformats.org/spreadsheetml/2006/main" uniqueCount="179">
  <si>
    <t>Rank</t>
  </si>
  <si>
    <t>Id</t>
  </si>
  <si>
    <t>PepSeq1</t>
  </si>
  <si>
    <t>PepSeq2</t>
  </si>
  <si>
    <t>LinkPos1</t>
  </si>
  <si>
    <t>LinkPos2</t>
  </si>
  <si>
    <t>Protein1Annotated</t>
  </si>
  <si>
    <t>ProteinId1</t>
  </si>
  <si>
    <t>Protein2Annotated</t>
  </si>
  <si>
    <t>ProteinId2</t>
  </si>
  <si>
    <t>AbsPos1</t>
  </si>
  <si>
    <t>AbsPos2</t>
  </si>
  <si>
    <t>Mr</t>
  </si>
  <si>
    <t>Mz</t>
  </si>
  <si>
    <t>z</t>
  </si>
  <si>
    <t>Error [ppm]</t>
  </si>
  <si>
    <t>TIC</t>
  </si>
  <si>
    <t>delta score</t>
  </si>
  <si>
    <t>ld-Score</t>
  </si>
  <si>
    <t>Distance [Å]</t>
  </si>
  <si>
    <t>Crosslinker</t>
  </si>
  <si>
    <t>GGVHVKLAHLSK-VISMEK-a6-b5</t>
  </si>
  <si>
    <t>GGVHVKLAHLSK</t>
  </si>
  <si>
    <t>VISMEK</t>
  </si>
  <si>
    <t>sp|P00563|KCRM_RABIT</t>
  </si>
  <si>
    <t>P00563</t>
  </si>
  <si>
    <t>PDH/DMTMM</t>
  </si>
  <si>
    <t>GGVHVKLAHLSK-IEEIFKK-a6-b2</t>
  </si>
  <si>
    <t>IEEIFKK</t>
  </si>
  <si>
    <t>GQSIDDMIPAQK-HPKFEEILTR-a5-b3</t>
  </si>
  <si>
    <t>GQSIDDMIPAQK</t>
  </si>
  <si>
    <t>HPKFEEILTR</t>
  </si>
  <si>
    <t>GQSIDDMIPAQK-HPKFEEILTR-a6-b3</t>
  </si>
  <si>
    <t>GGNMKEVFR-VISMEK-a5-b5</t>
  </si>
  <si>
    <t>GGNMKEVFR</t>
  </si>
  <si>
    <t>HGGFKPTDKHK-IEEIFKK-a9-b2</t>
  </si>
  <si>
    <t>HGGFKPTDKHK</t>
  </si>
  <si>
    <t>GILAADESTGSIAK-GGVVGIKVDK-a6-b7</t>
  </si>
  <si>
    <t>GILAADESTGSIAK</t>
  </si>
  <si>
    <t>GGVVGIKVDK</t>
  </si>
  <si>
    <t>sp|P00883|ALDOA_RABIT</t>
  </si>
  <si>
    <t>P00883</t>
  </si>
  <si>
    <t>QLLLTADDR-SKGGVVGIK-a7-b2</t>
  </si>
  <si>
    <t>QLLLTADDR</t>
  </si>
  <si>
    <t>SKGGVVGIK</t>
  </si>
  <si>
    <t>RLQSIGTENTEENRR-SKGGVVGIK-a8-b2</t>
  </si>
  <si>
    <t>RLQSIGTENTEENRR</t>
  </si>
  <si>
    <t>LGEYGFQNALIVR-SLGKVGTR-a3-b4</t>
  </si>
  <si>
    <t>LGEYGFQNALIVR</t>
  </si>
  <si>
    <t>SLGKVGTR</t>
  </si>
  <si>
    <t>sp|P02769|ALBU_BOVIN</t>
  </si>
  <si>
    <t>P02769</t>
  </si>
  <si>
    <t>YNGVFQECCQAEDK-GACLLPKIETMR-a7-b7</t>
  </si>
  <si>
    <t>YNGVFQECCQAEDK</t>
  </si>
  <si>
    <t>GACLLPKIETMR</t>
  </si>
  <si>
    <t>CASIQKFGER-LCVLHEK-a6-b6</t>
  </si>
  <si>
    <t>CASIQKFGER</t>
  </si>
  <si>
    <t>LCVLHEK</t>
  </si>
  <si>
    <t>YICDNQDTISSKLK-SHCIAEVEK-a12-b8</t>
  </si>
  <si>
    <t>YICDNQDTISSKLK</t>
  </si>
  <si>
    <t>SHCIAEVEK</t>
  </si>
  <si>
    <t>YICDNQDTISSKLK-SHCIAEVEK-a12-b6</t>
  </si>
  <si>
    <t>SLHTLFGDELCKVASLR-LVNELTEFAK-a12-b4</t>
  </si>
  <si>
    <t>SLHTLFGDELCKVASLR</t>
  </si>
  <si>
    <t>LVNELTEFAK</t>
  </si>
  <si>
    <t>LKPDPNTLCDEFKADEK-YLYEIAR-a2-b4</t>
  </si>
  <si>
    <t>LKPDPNTLCDEFKADEK</t>
  </si>
  <si>
    <t>YLYEIAR</t>
  </si>
  <si>
    <t>DAFLGSFLYEYSR-ALKAWSVAR-a1-b3</t>
  </si>
  <si>
    <t>DAFLGSFLYEYSR</t>
  </si>
  <si>
    <t>ALKAWSVAR</t>
  </si>
  <si>
    <t>LCVLHEKTPVSEK-DDSPDLPK-a7-b2</t>
  </si>
  <si>
    <t>LCVLHEKTPVSEK</t>
  </si>
  <si>
    <t>DDSPDLPK</t>
  </si>
  <si>
    <t>108 (107)</t>
  </si>
  <si>
    <t>8.6 (9.0)</t>
  </si>
  <si>
    <t>LCVLHEKTPVSEK-DDSPDLPK-a7-b1</t>
  </si>
  <si>
    <t>RPCFSALTPDETYVPK-HKPKATEEQLK-a10-b4</t>
  </si>
  <si>
    <t>RPCFSALTPDETYVPK</t>
  </si>
  <si>
    <t>HKPKATEEQLK</t>
  </si>
  <si>
    <t>LKPDPNTLCDEFK-FWGKYLYEIAR-a11-b4</t>
  </si>
  <si>
    <t>LKPDPNTLCDEFK</t>
  </si>
  <si>
    <t>FWGKYLYEIAR</t>
  </si>
  <si>
    <t>RPCFSALTPDETYVPK-HKPKATEEQLK-a11-b4</t>
  </si>
  <si>
    <t>DLLFKDLTK-FMMFESQNK-a5-b5</t>
  </si>
  <si>
    <t>DLLFKDLTK</t>
  </si>
  <si>
    <t>FMMFESQNK</t>
  </si>
  <si>
    <t>sp|P02789|TRFE_CHICK</t>
  </si>
  <si>
    <t>P02789</t>
  </si>
  <si>
    <t>AQSDFGVDTK-KDPVLK-a8-b1</t>
  </si>
  <si>
    <t>AQSDFGVDTK</t>
  </si>
  <si>
    <t>KDPVLK</t>
  </si>
  <si>
    <t>VEDIWSFLSK-APPKSVIR-a3-b4</t>
  </si>
  <si>
    <t>VEDIWSFLSK</t>
  </si>
  <si>
    <t>APPKSVIR</t>
  </si>
  <si>
    <t>not in model</t>
  </si>
  <si>
    <t>NLQMDDFELLCTDGR-KDSNVNWNNLK-a8-b1</t>
  </si>
  <si>
    <t>NLQMDDFELLCTDGR</t>
  </si>
  <si>
    <t>KDSNVNWNNLK</t>
  </si>
  <si>
    <t>IRDLLER-CLFKVR-a6-b4</t>
  </si>
  <si>
    <t>IRDLLER</t>
  </si>
  <si>
    <t>CLFKVR</t>
  </si>
  <si>
    <t>SDFHLFGPPGK-KDPVLK-a2-b1</t>
  </si>
  <si>
    <t>SDFHLFGPPGK</t>
  </si>
  <si>
    <t>YDDESQCSK-DLTKCLFK-a4-b4</t>
  </si>
  <si>
    <t>YDDESQCSK</t>
  </si>
  <si>
    <t>DLTKCLFK</t>
  </si>
  <si>
    <t>KGTEFTVNDLQGKTSCHTGLGR-GDVAFVK-a13-b2</t>
  </si>
  <si>
    <t>KGTEFTVNDLQGKTSCHTGLGR</t>
  </si>
  <si>
    <t>GDVAFVK</t>
  </si>
  <si>
    <t>DLTKCLFK-IRDLLER-a4-b6</t>
  </si>
  <si>
    <t>GAIEWEGIESGSVEQAVAK-KDQLTPSPR-a9-b1</t>
  </si>
  <si>
    <t>GAIEWEGIESGSVEQAVAK</t>
  </si>
  <si>
    <t>KDQLTPSPR</t>
  </si>
  <si>
    <t>TDERPASYFAVAVAR-DLLFKDLTK-a3-b5</t>
  </si>
  <si>
    <t>TDERPASYFAVAVAR</t>
  </si>
  <si>
    <t>426 (425)</t>
  </si>
  <si>
    <t>TDERPASYFAVAVAR-DLLFKDLTK-a2-b5</t>
  </si>
  <si>
    <t>SKFMMFESQNK-RFGVNGSEK-a2-b8</t>
  </si>
  <si>
    <t>SKFMMFESQNK</t>
  </si>
  <si>
    <t>RFGVNGSEK</t>
  </si>
  <si>
    <t>TDERPASYFAVAVAR-CLFKVR-a3-b4</t>
  </si>
  <si>
    <t>TDERPASYFAVAVAR-CLFKVR-a2-b4</t>
  </si>
  <si>
    <t>GTEFTVNDLQGKTSCHTGLGR-GDVAFVK-a12-b2</t>
  </si>
  <si>
    <t>GTEFTVNDLQGKTSCHTGLGR</t>
  </si>
  <si>
    <t>ECNLAEVPTHAVVVRPEK-CLFKVR-a6-b4</t>
  </si>
  <si>
    <t>ECNLAEVPTHAVVVRPEK</t>
  </si>
  <si>
    <t>RFDEILEASDGIMVAR-NIKIISK-a10-b3</t>
  </si>
  <si>
    <t>RFDEILEASDGIMVAR</t>
  </si>
  <si>
    <t>NIKIISK</t>
  </si>
  <si>
    <t>sp|P11974-1|KPYM_RABIT,sp|P11974-2|KPYM_RABIT</t>
  </si>
  <si>
    <t>P11974-1</t>
  </si>
  <si>
    <t>VFLAQKMIIGR-EAEAAMFHR-a6-b3</t>
  </si>
  <si>
    <t>VFLAQKMIIGR</t>
  </si>
  <si>
    <t>EAEAAMFHR</t>
  </si>
  <si>
    <t>sp|P11974-1|KPYM_RABIT</t>
  </si>
  <si>
    <t>LCALCAGDDQGLDK-EKYYGYTGAFR-a9-b2</t>
  </si>
  <si>
    <t>LCALCAGDDQGLDK</t>
  </si>
  <si>
    <t>EKYYGYTGAFR</t>
  </si>
  <si>
    <t>sp|P24627|TRFL_BOVIN</t>
  </si>
  <si>
    <t>P24627</t>
  </si>
  <si>
    <t>APVDAFKECHLAQVPSHAVVAR-ESPQTHYYAVAVVK-a7-b1</t>
  </si>
  <si>
    <t>APVDAFKECHLAQVPSHAVVAR</t>
  </si>
  <si>
    <t>ESPQTHYYAVAVVK</t>
  </si>
  <si>
    <t>CSTSPLLEACAFLTR-IPSKVDSALYLGSR-a8-b4</t>
  </si>
  <si>
    <t>CSTSPLLEACAFLTR</t>
  </si>
  <si>
    <t>IPSKVDSALYLGSR</t>
  </si>
  <si>
    <t>SETKNLLFNDNTECLAK-VVWCAVGPEEQK-a4-b9</t>
  </si>
  <si>
    <t>SETKNLLFNDNTECLAK</t>
  </si>
  <si>
    <t>VVWCAVGPEEQK</t>
  </si>
  <si>
    <t>SETKNLLFNDNTECLAK-VVWCAVGPEEQK-a4-b10</t>
  </si>
  <si>
    <t>YLTTLKNLR-ETAEEVK-a6-b1</t>
  </si>
  <si>
    <t>YLTTLKNLR</t>
  </si>
  <si>
    <t>ETAEEVK</t>
  </si>
  <si>
    <t>LGGRPTYEEYLGTEYVTAIANLK-KSCHTAVDR-a14-b1</t>
  </si>
  <si>
    <t>LGGRPTYEEYLGTEYVTAIANLK</t>
  </si>
  <si>
    <t>KSCHTAVDR</t>
  </si>
  <si>
    <t>YLTTLKNLR-ETAEEVK-a6-b4</t>
  </si>
  <si>
    <t>DDTKCLASIAK-TEGESCK-a4-b2</t>
  </si>
  <si>
    <t>DDTKCLASIAK</t>
  </si>
  <si>
    <t>TEGESCK</t>
  </si>
  <si>
    <t>sp|Q29443|TRFE_BOVIN</t>
  </si>
  <si>
    <t>Q29443</t>
  </si>
  <si>
    <t>no model</t>
  </si>
  <si>
    <t>NYELLCGDNTR-KDTDFK-a3-b1</t>
  </si>
  <si>
    <t>NYELLCGDNTR</t>
  </si>
  <si>
    <t>KDTDFK</t>
  </si>
  <si>
    <t>NYELLCGDNTRK-KDTDFK-a3-b1</t>
  </si>
  <si>
    <t>NYELLCGDNTRK</t>
  </si>
  <si>
    <t>DLLFRDDTKCLASIAK-TEGESCK-a9-b2</t>
  </si>
  <si>
    <t>DLLFRDDTKCLASIAK</t>
  </si>
  <si>
    <t>CLASIAKK-ATCVEK-a7-b5</t>
  </si>
  <si>
    <t>CLASIAKK</t>
  </si>
  <si>
    <t>ATCVEK</t>
  </si>
  <si>
    <t>KSCHTAVDR-GDVAFVK-a1-b2</t>
  </si>
  <si>
    <t>224 or 555</t>
  </si>
  <si>
    <t>NTPEKGYLAVAVVK-KPVTDAENCHLAR-a5-b7</t>
  </si>
  <si>
    <t>NTPEKGYLAVAVVK</t>
  </si>
  <si>
    <t>KPVTDAENCHLAR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</si>
</sst>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8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b val="1"/>
      <sz val="11"/>
      <color indexed="11"/>
      <name val="Calibri"/>
    </font>
    <font>
      <b val="1"/>
      <sz val="11"/>
      <color indexed="12"/>
      <name val="Calibri"/>
    </font>
    <font>
      <b val="1"/>
      <sz val="11"/>
      <color indexed="13"/>
      <name val="Calibri"/>
    </font>
    <font>
      <sz val="11"/>
      <color indexed="1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borderId="1" applyNumberFormat="1" applyFont="1" applyFill="0" applyBorder="1" applyAlignment="1" applyProtection="0">
      <alignment horizontal="right"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3" borderId="1" applyNumberFormat="1" applyFont="1" applyFill="0" applyBorder="1" applyAlignment="1" applyProtection="0">
      <alignment vertical="bottom"/>
    </xf>
    <xf numFmtId="59" fontId="4" borderId="1" applyNumberFormat="1" applyFont="1" applyFill="0" applyBorder="1" applyAlignment="1" applyProtection="0">
      <alignment horizontal="right" vertical="bottom"/>
    </xf>
    <xf numFmtId="59" fontId="5" borderId="1" applyNumberFormat="1" applyFont="1" applyFill="0" applyBorder="1" applyAlignment="1" applyProtection="0">
      <alignment horizontal="right" vertical="bottom"/>
    </xf>
    <xf numFmtId="0" fontId="0" fillId="2" borderId="1" applyNumberFormat="1" applyFont="1" applyFill="1" applyBorder="1" applyAlignment="1" applyProtection="0">
      <alignment horizontal="right" vertical="bottom"/>
    </xf>
    <xf numFmtId="59" fontId="3" borderId="1" applyNumberFormat="1" applyFont="1" applyFill="0" applyBorder="1" applyAlignment="1" applyProtection="0">
      <alignment horizontal="right" vertical="bottom"/>
    </xf>
    <xf numFmtId="59" fontId="6" borderId="1" applyNumberFormat="1" applyFont="1" applyFill="0" applyBorder="1" applyAlignment="1" applyProtection="0">
      <alignment horizontal="right" vertical="bottom"/>
    </xf>
    <xf numFmtId="49" fontId="4" borderId="1" applyNumberFormat="1" applyFont="1" applyFill="0" applyBorder="1" applyAlignment="1" applyProtection="0">
      <alignment horizontal="right" vertical="bottom"/>
    </xf>
    <xf numFmtId="0" fontId="7" borderId="1" applyNumberFormat="0" applyFont="1" applyFill="0" applyBorder="1" applyAlignment="1" applyProtection="0">
      <alignment vertical="bottom"/>
    </xf>
    <xf numFmtId="0" fontId="0" fillId="2" borderId="2" applyNumberFormat="1" applyFont="1" applyFill="1" applyBorder="1" applyAlignment="1" applyProtection="0">
      <alignment vertical="bottom"/>
    </xf>
    <xf numFmtId="0" fontId="0" fillId="2" borderId="3" applyNumberFormat="1" applyFont="1" applyFill="1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bottom"/>
    </xf>
    <xf numFmtId="0" fontId="0" borderId="5" applyNumberFormat="1" applyFont="1" applyFill="0" applyBorder="1" applyAlignment="1" applyProtection="0">
      <alignment vertical="bottom"/>
    </xf>
    <xf numFmtId="0" fontId="0" fillId="2" borderId="6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00b050"/>
      <rgbColor rgb="ffff0000"/>
      <rgbColor rgb="fff796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W57"/>
  <sheetViews>
    <sheetView workbookViewId="0" showGridLines="0" defaultGridColor="1"/>
  </sheetViews>
  <sheetFormatPr defaultColWidth="8.83333" defaultRowHeight="15" customHeight="1" outlineLevelRow="0" outlineLevelCol="0"/>
  <cols>
    <col min="1" max="1" hidden="1" width="8.83333" style="1" customWidth="1"/>
    <col min="2" max="2" width="53.1719" style="1" customWidth="1"/>
    <col min="3" max="4" width="24.9766" style="1" customWidth="1"/>
    <col min="5" max="6" width="10.4766" style="1" customWidth="1"/>
    <col min="7" max="8" width="23.3516" style="1" customWidth="1"/>
    <col min="9" max="10" width="25" style="1" customWidth="1"/>
    <col min="11" max="19" width="12.5" style="1" customWidth="1"/>
    <col min="20" max="20" width="15.5" style="1" customWidth="1"/>
    <col min="21" max="23" width="8.85156" style="1" customWidth="1"/>
    <col min="24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3">
        <v>10</v>
      </c>
      <c r="L1" t="s" s="3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4">
        <v>19</v>
      </c>
      <c r="U1" t="s" s="2">
        <v>20</v>
      </c>
      <c r="V1" s="5"/>
      <c r="W1" s="5"/>
    </row>
    <row r="2" ht="13.55" customHeight="1">
      <c r="A2" s="6">
        <v>1</v>
      </c>
      <c r="B2" t="s" s="2">
        <v>21</v>
      </c>
      <c r="C2" t="str" s="5" cm="1">
        <f t="array" ref="C2">_xlfn.TEXTBEFORE(B2,"-")</f>
        <v>GGVHVKLAHLSK</v>
      </c>
      <c r="D2" t="str" s="5" cm="1">
        <f t="array" ref="D2">_xlfn.TEXTBEFORE(_xlfn.TEXTAFTER(B2,"-"),"-")</f>
        <v>VISMEK</v>
      </c>
      <c r="E2" s="6" cm="1">
        <f t="array" ref="E2">VALUE(_xlfn.TEXTAFTER(_xlfn.TEXTBEFORE(_xlfn.TEXTAFTER(B2,"-",2),"-"),"a"))</f>
        <v>6</v>
      </c>
      <c r="F2" s="6" cm="1">
        <f t="array" ref="F2">VALUE(_xlfn.TEXTAFTER(_xlfn.TEXTAFTER(B2,"-",2),"b"))</f>
        <v>5</v>
      </c>
      <c r="G2" t="s" s="2">
        <v>24</v>
      </c>
      <c r="H2" t="str" s="5">
        <v>P00563</v>
      </c>
      <c r="I2" t="s" s="2">
        <v>24</v>
      </c>
      <c r="J2" t="str" s="5">
        <v>P00563</v>
      </c>
      <c r="K2" s="7">
        <v>298</v>
      </c>
      <c r="L2" s="7">
        <v>241</v>
      </c>
      <c r="M2" s="6">
        <v>1932.108</v>
      </c>
      <c r="N2" s="6">
        <v>387.429</v>
      </c>
      <c r="O2" s="6">
        <v>5</v>
      </c>
      <c r="P2" s="6">
        <v>5.3</v>
      </c>
      <c r="Q2" s="6">
        <v>0.71</v>
      </c>
      <c r="R2" s="6">
        <v>0.45</v>
      </c>
      <c r="S2" s="8">
        <v>22.47</v>
      </c>
      <c r="T2" s="9">
        <v>16.9</v>
      </c>
      <c r="U2" t="s" s="2">
        <v>26</v>
      </c>
      <c r="V2" s="5"/>
      <c r="W2" s="5"/>
    </row>
    <row r="3" ht="13.55" customHeight="1">
      <c r="A3" s="6">
        <v>1</v>
      </c>
      <c r="B3" t="s" s="2">
        <v>27</v>
      </c>
      <c r="C3" t="str" s="5" cm="1">
        <f t="array" ref="C3">_xlfn.TEXTBEFORE(B3,"-")</f>
        <v>GGVHVKLAHLSK</v>
      </c>
      <c r="D3" t="str" s="5" cm="1">
        <f t="array" ref="D3">_xlfn.TEXTBEFORE(_xlfn.TEXTAFTER(B3,"-"),"-")</f>
        <v>IEEIFKK</v>
      </c>
      <c r="E3" s="6" cm="1">
        <f t="array" ref="E3">VALUE(_xlfn.TEXTAFTER(_xlfn.TEXTBEFORE(_xlfn.TEXTAFTER(B3,"-",2),"-"),"a"))</f>
        <v>6</v>
      </c>
      <c r="F3" s="6" cm="1">
        <f t="array" ref="F3">VALUE(_xlfn.TEXTAFTER(_xlfn.TEXTAFTER(B3,"-",2),"b"))</f>
        <v>2</v>
      </c>
      <c r="G3" t="s" s="2">
        <v>24</v>
      </c>
      <c r="H3" t="str" s="5">
        <v>P00563</v>
      </c>
      <c r="I3" t="s" s="2">
        <v>24</v>
      </c>
      <c r="J3" t="str" s="5">
        <v>P00563</v>
      </c>
      <c r="K3" s="7">
        <v>298</v>
      </c>
      <c r="L3" s="7">
        <v>261</v>
      </c>
      <c r="M3" s="6">
        <v>2132.258</v>
      </c>
      <c r="N3" s="6">
        <v>427.459</v>
      </c>
      <c r="O3" s="6">
        <v>5</v>
      </c>
      <c r="P3" s="6">
        <v>5.2</v>
      </c>
      <c r="Q3" s="6">
        <v>0.28</v>
      </c>
      <c r="R3" s="6">
        <v>0.6899999999999999</v>
      </c>
      <c r="S3" s="8">
        <v>22.39</v>
      </c>
      <c r="T3" s="10">
        <v>39.6</v>
      </c>
      <c r="U3" t="s" s="2">
        <v>26</v>
      </c>
      <c r="V3" s="5"/>
      <c r="W3" s="5"/>
    </row>
    <row r="4" ht="13.55" customHeight="1">
      <c r="A4" s="6">
        <v>1</v>
      </c>
      <c r="B4" t="s" s="2">
        <v>29</v>
      </c>
      <c r="C4" t="str" s="5" cm="1">
        <f t="array" ref="C4">_xlfn.TEXTBEFORE(B4,"-")</f>
        <v>GQSIDDMIPAQK</v>
      </c>
      <c r="D4" t="str" s="5" cm="1">
        <f t="array" ref="D4">_xlfn.TEXTBEFORE(_xlfn.TEXTAFTER(B4,"-"),"-")</f>
        <v>HPKFEEILTR</v>
      </c>
      <c r="E4" s="6" cm="1">
        <f t="array" ref="E4">VALUE(_xlfn.TEXTAFTER(_xlfn.TEXTBEFORE(_xlfn.TEXTAFTER(B4,"-",2),"-"),"a"))</f>
        <v>5</v>
      </c>
      <c r="F4" s="6" cm="1">
        <f t="array" ref="F4">VALUE(_xlfn.TEXTAFTER(_xlfn.TEXTAFTER(B4,"-",2),"b"))</f>
        <v>3</v>
      </c>
      <c r="G4" t="s" s="2">
        <v>24</v>
      </c>
      <c r="H4" t="str" s="5">
        <v>P00563</v>
      </c>
      <c r="I4" t="s" s="2">
        <v>24</v>
      </c>
      <c r="J4" t="str" s="5">
        <v>P00563</v>
      </c>
      <c r="K4" s="7">
        <v>374</v>
      </c>
      <c r="L4" s="7">
        <v>307</v>
      </c>
      <c r="M4" s="6">
        <v>2552.312</v>
      </c>
      <c r="N4" s="6">
        <v>639.086</v>
      </c>
      <c r="O4" s="6">
        <v>4</v>
      </c>
      <c r="P4" s="6">
        <v>2.6</v>
      </c>
      <c r="Q4" s="6">
        <v>0.2</v>
      </c>
      <c r="R4" s="6">
        <v>0.5</v>
      </c>
      <c r="S4" s="8">
        <v>20.76</v>
      </c>
      <c r="T4" s="9">
        <v>14.1</v>
      </c>
      <c r="U4" t="s" s="2">
        <v>26</v>
      </c>
      <c r="V4" s="5"/>
      <c r="W4" s="5"/>
    </row>
    <row r="5" ht="13.55" customHeight="1">
      <c r="A5" s="6">
        <v>1</v>
      </c>
      <c r="B5" t="s" s="2">
        <v>32</v>
      </c>
      <c r="C5" t="str" s="5" cm="1">
        <f t="array" ref="C5">_xlfn.TEXTBEFORE(B5,"-")</f>
        <v>GQSIDDMIPAQK</v>
      </c>
      <c r="D5" t="str" s="5" cm="1">
        <f t="array" ref="D5">_xlfn.TEXTBEFORE(_xlfn.TEXTAFTER(B5,"-"),"-")</f>
        <v>HPKFEEILTR</v>
      </c>
      <c r="E5" s="6" cm="1">
        <f t="array" ref="E5">VALUE(_xlfn.TEXTAFTER(_xlfn.TEXTBEFORE(_xlfn.TEXTAFTER(B5,"-",2),"-"),"a"))</f>
        <v>6</v>
      </c>
      <c r="F5" s="6" cm="1">
        <f t="array" ref="F5">VALUE(_xlfn.TEXTAFTER(_xlfn.TEXTAFTER(B5,"-",2),"b"))</f>
        <v>3</v>
      </c>
      <c r="G5" t="s" s="2">
        <v>24</v>
      </c>
      <c r="H5" t="str" s="5">
        <v>P00563</v>
      </c>
      <c r="I5" t="s" s="2">
        <v>24</v>
      </c>
      <c r="J5" t="str" s="5">
        <v>P00563</v>
      </c>
      <c r="K5" s="7">
        <v>375</v>
      </c>
      <c r="L5" s="7">
        <v>307</v>
      </c>
      <c r="M5" s="6">
        <v>2552.323</v>
      </c>
      <c r="N5" s="6">
        <v>851.782</v>
      </c>
      <c r="O5" s="6">
        <v>3</v>
      </c>
      <c r="P5" s="6">
        <v>6.7</v>
      </c>
      <c r="Q5" s="6">
        <v>0.29</v>
      </c>
      <c r="R5" s="6">
        <v>0</v>
      </c>
      <c r="S5" s="8">
        <v>20.08</v>
      </c>
      <c r="T5" s="9">
        <v>12.2</v>
      </c>
      <c r="U5" t="s" s="2">
        <v>26</v>
      </c>
      <c r="V5" s="5"/>
      <c r="W5" s="5"/>
    </row>
    <row r="6" ht="13.55" customHeight="1">
      <c r="A6" s="6">
        <v>1</v>
      </c>
      <c r="B6" t="s" s="2">
        <v>33</v>
      </c>
      <c r="C6" t="str" s="5" cm="1">
        <f t="array" ref="C6">_xlfn.TEXTBEFORE(B6,"-")</f>
        <v>GGNMKEVFR</v>
      </c>
      <c r="D6" t="str" s="5" cm="1">
        <f t="array" ref="D6">_xlfn.TEXTBEFORE(_xlfn.TEXTAFTER(B6,"-"),"-")</f>
        <v>VISMEK</v>
      </c>
      <c r="E6" s="6" cm="1">
        <f t="array" ref="E6">VALUE(_xlfn.TEXTAFTER(_xlfn.TEXTBEFORE(_xlfn.TEXTAFTER(B6,"-",2),"-"),"a"))</f>
        <v>5</v>
      </c>
      <c r="F6" s="6" cm="1">
        <f t="array" ref="F6">VALUE(_xlfn.TEXTAFTER(_xlfn.TEXTAFTER(B6,"-",2),"b"))</f>
        <v>5</v>
      </c>
      <c r="G6" t="s" s="2">
        <v>24</v>
      </c>
      <c r="H6" t="str" s="5">
        <v>P00563</v>
      </c>
      <c r="I6" t="s" s="2">
        <v>24</v>
      </c>
      <c r="J6" t="str" s="5">
        <v>P00563</v>
      </c>
      <c r="K6" s="7">
        <v>247</v>
      </c>
      <c r="L6" s="7">
        <v>241</v>
      </c>
      <c r="M6" s="6">
        <v>1723.88</v>
      </c>
      <c r="N6" s="6">
        <v>431.978</v>
      </c>
      <c r="O6" s="6">
        <v>4</v>
      </c>
      <c r="P6" s="6">
        <v>2.9</v>
      </c>
      <c r="Q6" s="6">
        <v>0.24</v>
      </c>
      <c r="R6" s="6">
        <v>0.89</v>
      </c>
      <c r="S6" s="8">
        <v>19.78</v>
      </c>
      <c r="T6" s="9">
        <v>11</v>
      </c>
      <c r="U6" t="s" s="2">
        <v>26</v>
      </c>
      <c r="V6" s="5"/>
      <c r="W6" s="5"/>
    </row>
    <row r="7" ht="13.55" customHeight="1">
      <c r="A7" s="6">
        <v>1</v>
      </c>
      <c r="B7" t="s" s="2">
        <v>35</v>
      </c>
      <c r="C7" t="str" s="5" cm="1">
        <f t="array" ref="C7">_xlfn.TEXTBEFORE(B7,"-")</f>
        <v>HGGFKPTDKHK</v>
      </c>
      <c r="D7" t="str" s="5" cm="1">
        <f t="array" ref="D7">_xlfn.TEXTBEFORE(_xlfn.TEXTAFTER(B7,"-"),"-")</f>
        <v>IEEIFKK</v>
      </c>
      <c r="E7" s="6" cm="1">
        <f t="array" ref="E7">VALUE(_xlfn.TEXTAFTER(_xlfn.TEXTBEFORE(_xlfn.TEXTAFTER(B7,"-",2),"-"),"a"))</f>
        <v>9</v>
      </c>
      <c r="F7" s="6" cm="1">
        <f t="array" ref="F7">VALUE(_xlfn.TEXTAFTER(_xlfn.TEXTAFTER(B7,"-",2),"b"))</f>
        <v>2</v>
      </c>
      <c r="G7" t="s" s="2">
        <v>24</v>
      </c>
      <c r="H7" t="str" s="5">
        <v>P00563</v>
      </c>
      <c r="I7" t="s" s="2">
        <v>24</v>
      </c>
      <c r="J7" t="str" s="5">
        <v>P00563</v>
      </c>
      <c r="K7" s="7">
        <v>105</v>
      </c>
      <c r="L7" s="7">
        <v>261</v>
      </c>
      <c r="M7" s="6">
        <v>2138.175</v>
      </c>
      <c r="N7" s="6">
        <v>428.643</v>
      </c>
      <c r="O7" s="6">
        <v>5</v>
      </c>
      <c r="P7" s="6">
        <v>5.2</v>
      </c>
      <c r="Q7" s="6">
        <v>0.18</v>
      </c>
      <c r="R7" s="6">
        <v>0.75</v>
      </c>
      <c r="S7" s="8">
        <v>18.11</v>
      </c>
      <c r="T7" s="9">
        <v>20</v>
      </c>
      <c r="U7" t="s" s="2">
        <v>26</v>
      </c>
      <c r="V7" s="5"/>
      <c r="W7" s="5"/>
    </row>
    <row r="8" ht="13.55" customHeight="1">
      <c r="A8" s="6">
        <v>1</v>
      </c>
      <c r="B8" t="s" s="2">
        <v>37</v>
      </c>
      <c r="C8" t="str" s="5" cm="1">
        <f t="array" ref="C8">_xlfn.TEXTBEFORE(B8,"-")</f>
        <v>GILAADESTGSIAK</v>
      </c>
      <c r="D8" t="str" s="5" cm="1">
        <f t="array" ref="D8">_xlfn.TEXTBEFORE(_xlfn.TEXTAFTER(B8,"-"),"-")</f>
        <v>GGVVGIKVDK</v>
      </c>
      <c r="E8" s="6" cm="1">
        <f t="array" ref="E8">VALUE(_xlfn.TEXTAFTER(_xlfn.TEXTBEFORE(_xlfn.TEXTAFTER(B8,"-",2),"-"),"a"))</f>
        <v>6</v>
      </c>
      <c r="F8" s="6" cm="1">
        <f t="array" ref="F8">VALUE(_xlfn.TEXTAFTER(_xlfn.TEXTAFTER(B8,"-",2),"b"))</f>
        <v>7</v>
      </c>
      <c r="G8" t="s" s="2">
        <v>40</v>
      </c>
      <c r="H8" t="str" s="5">
        <v>P00883</v>
      </c>
      <c r="I8" t="s" s="2">
        <v>40</v>
      </c>
      <c r="J8" t="str" s="5">
        <v>P00883</v>
      </c>
      <c r="K8" s="7">
        <v>33</v>
      </c>
      <c r="L8" s="7">
        <v>107</v>
      </c>
      <c r="M8" s="6">
        <v>2284.272</v>
      </c>
      <c r="N8" s="6">
        <v>762.432</v>
      </c>
      <c r="O8" s="6">
        <v>3</v>
      </c>
      <c r="P8" s="6">
        <v>3.4</v>
      </c>
      <c r="Q8" s="6">
        <v>0.41</v>
      </c>
      <c r="R8" s="6">
        <v>0.84</v>
      </c>
      <c r="S8" s="8">
        <v>27.66</v>
      </c>
      <c r="T8" s="9">
        <v>6.3</v>
      </c>
      <c r="U8" t="s" s="2">
        <v>26</v>
      </c>
      <c r="V8" s="5"/>
      <c r="W8" s="5"/>
    </row>
    <row r="9" ht="13.55" customHeight="1">
      <c r="A9" s="6">
        <v>1</v>
      </c>
      <c r="B9" t="s" s="2">
        <v>42</v>
      </c>
      <c r="C9" t="str" s="5" cm="1">
        <f t="array" ref="C9">_xlfn.TEXTBEFORE(B9,"-")</f>
        <v>QLLLTADDR</v>
      </c>
      <c r="D9" t="str" s="5" cm="1">
        <f t="array" ref="D9">_xlfn.TEXTBEFORE(_xlfn.TEXTAFTER(B9,"-"),"-")</f>
        <v>SKGGVVGIK</v>
      </c>
      <c r="E9" s="6" cm="1">
        <f t="array" ref="E9">VALUE(_xlfn.TEXTAFTER(_xlfn.TEXTBEFORE(_xlfn.TEXTAFTER(B9,"-",2),"-"),"a"))</f>
        <v>7</v>
      </c>
      <c r="F9" s="6" cm="1">
        <f t="array" ref="F9">VALUE(_xlfn.TEXTAFTER(_xlfn.TEXTAFTER(B9,"-",2),"b"))</f>
        <v>2</v>
      </c>
      <c r="G9" t="s" s="2">
        <v>40</v>
      </c>
      <c r="H9" t="str" s="5">
        <v>P00883</v>
      </c>
      <c r="I9" t="s" s="2">
        <v>40</v>
      </c>
      <c r="J9" t="str" s="5">
        <v>P00883</v>
      </c>
      <c r="K9" s="11">
        <v>66</v>
      </c>
      <c r="L9" s="11">
        <v>100</v>
      </c>
      <c r="M9" s="6">
        <v>1869.08</v>
      </c>
      <c r="N9" s="6">
        <v>468.278</v>
      </c>
      <c r="O9" s="6">
        <v>4</v>
      </c>
      <c r="P9" s="6">
        <v>6.4</v>
      </c>
      <c r="Q9" s="6">
        <v>0.25</v>
      </c>
      <c r="R9" s="6">
        <v>0.8</v>
      </c>
      <c r="S9" s="8">
        <v>20.05</v>
      </c>
      <c r="T9" s="12">
        <v>9.1</v>
      </c>
      <c r="U9" t="s" s="2">
        <v>26</v>
      </c>
      <c r="V9" s="5"/>
      <c r="W9" s="5"/>
    </row>
    <row r="10" ht="13.55" customHeight="1">
      <c r="A10" s="6">
        <v>1</v>
      </c>
      <c r="B10" t="s" s="2">
        <v>45</v>
      </c>
      <c r="C10" t="str" s="5" cm="1">
        <f t="array" ref="C10">_xlfn.TEXTBEFORE(B10,"-")</f>
        <v>RLQSIGTENTEENRR</v>
      </c>
      <c r="D10" t="str" s="5" cm="1">
        <f t="array" ref="D10">_xlfn.TEXTBEFORE(_xlfn.TEXTAFTER(B10,"-"),"-")</f>
        <v>SKGGVVGIK</v>
      </c>
      <c r="E10" s="6" cm="1">
        <f t="array" ref="E10">VALUE(_xlfn.TEXTAFTER(_xlfn.TEXTBEFORE(_xlfn.TEXTAFTER(B10,"-",2),"-"),"a"))</f>
        <v>8</v>
      </c>
      <c r="F10" s="6" cm="1">
        <f t="array" ref="F10">VALUE(_xlfn.TEXTAFTER(_xlfn.TEXTAFTER(B10,"-",2),"b"))</f>
        <v>2</v>
      </c>
      <c r="G10" t="s" s="2">
        <v>40</v>
      </c>
      <c r="H10" t="str" s="5">
        <v>P00883</v>
      </c>
      <c r="I10" t="s" s="2">
        <v>40</v>
      </c>
      <c r="J10" t="str" s="5">
        <v>P00883</v>
      </c>
      <c r="K10" s="7">
        <v>49</v>
      </c>
      <c r="L10" s="7">
        <v>100</v>
      </c>
      <c r="M10" s="6">
        <v>2627.418</v>
      </c>
      <c r="N10" s="6">
        <v>526.491</v>
      </c>
      <c r="O10" s="6">
        <v>5</v>
      </c>
      <c r="P10" s="6">
        <v>2.9</v>
      </c>
      <c r="Q10" s="6">
        <v>0.21</v>
      </c>
      <c r="R10" s="6">
        <v>0.76</v>
      </c>
      <c r="S10" s="8">
        <v>19.34</v>
      </c>
      <c r="T10" s="13">
        <v>29.2</v>
      </c>
      <c r="U10" t="s" s="2">
        <v>26</v>
      </c>
      <c r="V10" s="5"/>
      <c r="W10" s="5"/>
    </row>
    <row r="11" ht="13.55" customHeight="1">
      <c r="A11" s="6">
        <v>1</v>
      </c>
      <c r="B11" t="s" s="2">
        <v>47</v>
      </c>
      <c r="C11" t="str" s="5" cm="1">
        <f t="array" ref="C11">_xlfn.TEXTBEFORE(B11,"-")</f>
        <v>LGEYGFQNALIVR</v>
      </c>
      <c r="D11" t="str" s="5" cm="1">
        <f t="array" ref="D11">_xlfn.TEXTBEFORE(_xlfn.TEXTAFTER(B11,"-"),"-")</f>
        <v>SLGKVGTR</v>
      </c>
      <c r="E11" s="6" cm="1">
        <f t="array" ref="E11">VALUE(_xlfn.TEXTAFTER(_xlfn.TEXTBEFORE(_xlfn.TEXTAFTER(B11,"-",2),"-"),"a"))</f>
        <v>3</v>
      </c>
      <c r="F11" s="6" cm="1">
        <f t="array" ref="F11">VALUE(_xlfn.TEXTAFTER(_xlfn.TEXTAFTER(B11,"-",2),"b"))</f>
        <v>4</v>
      </c>
      <c r="G11" t="s" s="2">
        <v>50</v>
      </c>
      <c r="H11" t="str" s="5">
        <v>P02769</v>
      </c>
      <c r="I11" t="s" s="2">
        <v>50</v>
      </c>
      <c r="J11" t="str" s="5">
        <v>P02769</v>
      </c>
      <c r="K11" s="7">
        <v>399</v>
      </c>
      <c r="L11" s="7">
        <v>431</v>
      </c>
      <c r="M11" s="6">
        <v>2277.267</v>
      </c>
      <c r="N11" s="6">
        <v>760.097</v>
      </c>
      <c r="O11" s="6">
        <v>3</v>
      </c>
      <c r="P11" s="6">
        <v>3.6</v>
      </c>
      <c r="Q11" s="6">
        <v>0.47</v>
      </c>
      <c r="R11" s="6">
        <v>0</v>
      </c>
      <c r="S11" s="8">
        <v>28.84</v>
      </c>
      <c r="T11" s="9">
        <v>6.5</v>
      </c>
      <c r="U11" t="s" s="2">
        <v>26</v>
      </c>
      <c r="V11" s="5"/>
      <c r="W11" s="5"/>
    </row>
    <row r="12" ht="13.55" customHeight="1">
      <c r="A12" s="6">
        <v>1</v>
      </c>
      <c r="B12" t="s" s="2">
        <v>52</v>
      </c>
      <c r="C12" t="str" s="5" cm="1">
        <f t="array" ref="C12">_xlfn.TEXTBEFORE(B12,"-")</f>
        <v>YNGVFQECCQAEDK</v>
      </c>
      <c r="D12" t="str" s="5" cm="1">
        <f t="array" ref="D12">_xlfn.TEXTBEFORE(_xlfn.TEXTAFTER(B12,"-"),"-")</f>
        <v>GACLLPKIETMR</v>
      </c>
      <c r="E12" s="6" cm="1">
        <f t="array" ref="E12">VALUE(_xlfn.TEXTAFTER(_xlfn.TEXTBEFORE(_xlfn.TEXTAFTER(B12,"-",2),"-"),"a"))</f>
        <v>7</v>
      </c>
      <c r="F12" s="6" cm="1">
        <f t="array" ref="F12">VALUE(_xlfn.TEXTAFTER(_xlfn.TEXTAFTER(B12,"-",2),"b"))</f>
        <v>7</v>
      </c>
      <c r="G12" t="s" s="2">
        <v>50</v>
      </c>
      <c r="H12" t="str" s="5">
        <v>P02769</v>
      </c>
      <c r="I12" t="s" s="2">
        <v>50</v>
      </c>
      <c r="J12" t="str" s="5">
        <v>P02769</v>
      </c>
      <c r="K12" s="7">
        <v>166</v>
      </c>
      <c r="L12" s="7">
        <v>180</v>
      </c>
      <c r="M12" s="6">
        <v>3116.435</v>
      </c>
      <c r="N12" s="6">
        <v>1039.819</v>
      </c>
      <c r="O12" s="6">
        <v>3</v>
      </c>
      <c r="P12" s="6">
        <v>5.2</v>
      </c>
      <c r="Q12" s="6">
        <v>0.51</v>
      </c>
      <c r="R12" s="6">
        <v>0.61</v>
      </c>
      <c r="S12" s="8">
        <v>27.72</v>
      </c>
      <c r="T12" s="9">
        <v>10.7</v>
      </c>
      <c r="U12" t="s" s="2">
        <v>26</v>
      </c>
      <c r="V12" s="5"/>
      <c r="W12" s="5"/>
    </row>
    <row r="13" ht="13.55" customHeight="1">
      <c r="A13" s="6">
        <v>1</v>
      </c>
      <c r="B13" t="s" s="2">
        <v>55</v>
      </c>
      <c r="C13" t="str" s="5" cm="1">
        <f t="array" ref="C13">_xlfn.TEXTBEFORE(B13,"-")</f>
        <v>CASIQKFGER</v>
      </c>
      <c r="D13" t="str" s="5" cm="1">
        <f t="array" ref="D13">_xlfn.TEXTBEFORE(_xlfn.TEXTAFTER(B13,"-"),"-")</f>
        <v>LCVLHEK</v>
      </c>
      <c r="E13" s="6" cm="1">
        <f t="array" ref="E13">VALUE(_xlfn.TEXTAFTER(_xlfn.TEXTBEFORE(_xlfn.TEXTAFTER(B13,"-",2),"-"),"a"))</f>
        <v>6</v>
      </c>
      <c r="F13" s="6" cm="1">
        <f t="array" ref="F13">VALUE(_xlfn.TEXTAFTER(_xlfn.TEXTAFTER(B13,"-",2),"b"))</f>
        <v>6</v>
      </c>
      <c r="G13" t="s" s="2">
        <v>50</v>
      </c>
      <c r="H13" t="str" s="5">
        <v>P02769</v>
      </c>
      <c r="I13" t="s" s="2">
        <v>50</v>
      </c>
      <c r="J13" t="str" s="5">
        <v>P02769</v>
      </c>
      <c r="K13" s="7">
        <v>204</v>
      </c>
      <c r="L13" s="7">
        <v>464</v>
      </c>
      <c r="M13" s="6">
        <v>2074.052</v>
      </c>
      <c r="N13" s="6">
        <v>692.3579999999999</v>
      </c>
      <c r="O13" s="6">
        <v>3</v>
      </c>
      <c r="P13" s="6">
        <v>3.1</v>
      </c>
      <c r="Q13" s="6">
        <v>0.37</v>
      </c>
      <c r="R13" s="6">
        <v>0.6899999999999999</v>
      </c>
      <c r="S13" s="8">
        <v>27.6</v>
      </c>
      <c r="T13" s="9">
        <v>10.9</v>
      </c>
      <c r="U13" t="s" s="2">
        <v>26</v>
      </c>
      <c r="V13" s="5"/>
      <c r="W13" s="5"/>
    </row>
    <row r="14" ht="13.55" customHeight="1">
      <c r="A14" s="6">
        <v>1</v>
      </c>
      <c r="B14" t="s" s="2">
        <v>58</v>
      </c>
      <c r="C14" t="str" s="5" cm="1">
        <f t="array" ref="C14">_xlfn.TEXTBEFORE(B14,"-")</f>
        <v>YICDNQDTISSKLK</v>
      </c>
      <c r="D14" t="str" s="5" cm="1">
        <f t="array" ref="D14">_xlfn.TEXTBEFORE(_xlfn.TEXTAFTER(B14,"-"),"-")</f>
        <v>SHCIAEVEK</v>
      </c>
      <c r="E14" s="6" cm="1">
        <f t="array" ref="E14">VALUE(_xlfn.TEXTAFTER(_xlfn.TEXTBEFORE(_xlfn.TEXTAFTER(B14,"-",2),"-"),"a"))</f>
        <v>12</v>
      </c>
      <c r="F14" s="6" cm="1">
        <f t="array" ref="F14">VALUE(_xlfn.TEXTAFTER(_xlfn.TEXTAFTER(B14,"-",2),"b"))</f>
        <v>8</v>
      </c>
      <c r="G14" t="s" s="2">
        <v>50</v>
      </c>
      <c r="H14" t="str" s="5">
        <v>P02769</v>
      </c>
      <c r="I14" t="s" s="2">
        <v>50</v>
      </c>
      <c r="J14" t="str" s="5">
        <v>P02769</v>
      </c>
      <c r="K14" s="7">
        <v>273</v>
      </c>
      <c r="L14" s="7">
        <v>293</v>
      </c>
      <c r="M14" s="6">
        <v>2737.325</v>
      </c>
      <c r="N14" s="6">
        <v>913.449</v>
      </c>
      <c r="O14" s="6">
        <v>3</v>
      </c>
      <c r="P14" s="6">
        <v>7.1</v>
      </c>
      <c r="Q14" s="6">
        <v>0.17</v>
      </c>
      <c r="R14" s="6">
        <v>0</v>
      </c>
      <c r="S14" s="8">
        <v>26.82</v>
      </c>
      <c r="T14" s="9">
        <v>6.8</v>
      </c>
      <c r="U14" t="s" s="2">
        <v>26</v>
      </c>
      <c r="V14" s="5"/>
      <c r="W14" s="5"/>
    </row>
    <row r="15" ht="13.55" customHeight="1">
      <c r="A15" s="6">
        <v>1</v>
      </c>
      <c r="B15" t="s" s="2">
        <v>61</v>
      </c>
      <c r="C15" t="str" s="5" cm="1">
        <f t="array" ref="C15">_xlfn.TEXTBEFORE(B15,"-")</f>
        <v>YICDNQDTISSKLK</v>
      </c>
      <c r="D15" t="str" s="5" cm="1">
        <f t="array" ref="D15">_xlfn.TEXTBEFORE(_xlfn.TEXTAFTER(B15,"-"),"-")</f>
        <v>SHCIAEVEK</v>
      </c>
      <c r="E15" s="6" cm="1">
        <f t="array" ref="E15">VALUE(_xlfn.TEXTAFTER(_xlfn.TEXTBEFORE(_xlfn.TEXTAFTER(B15,"-",2),"-"),"a"))</f>
        <v>12</v>
      </c>
      <c r="F15" s="6" cm="1">
        <f t="array" ref="F15">VALUE(_xlfn.TEXTAFTER(_xlfn.TEXTAFTER(B15,"-",2),"b"))</f>
        <v>6</v>
      </c>
      <c r="G15" t="s" s="2">
        <v>50</v>
      </c>
      <c r="H15" t="str" s="5">
        <v>P02769</v>
      </c>
      <c r="I15" t="s" s="2">
        <v>50</v>
      </c>
      <c r="J15" t="str" s="5">
        <v>P02769</v>
      </c>
      <c r="K15" s="7">
        <v>273</v>
      </c>
      <c r="L15" s="7">
        <v>291</v>
      </c>
      <c r="M15" s="6">
        <v>2737.319</v>
      </c>
      <c r="N15" s="6">
        <v>685.337</v>
      </c>
      <c r="O15" s="6">
        <v>4</v>
      </c>
      <c r="P15" s="6">
        <v>4.9</v>
      </c>
      <c r="Q15" s="6">
        <v>0.57</v>
      </c>
      <c r="R15" s="6">
        <v>0.59</v>
      </c>
      <c r="S15" s="8">
        <v>26.78</v>
      </c>
      <c r="T15" s="9">
        <v>11</v>
      </c>
      <c r="U15" t="s" s="2">
        <v>26</v>
      </c>
      <c r="V15" s="5"/>
      <c r="W15" s="5"/>
    </row>
    <row r="16" ht="13.55" customHeight="1">
      <c r="A16" s="6">
        <v>1</v>
      </c>
      <c r="B16" t="s" s="2">
        <v>62</v>
      </c>
      <c r="C16" t="str" s="5" cm="1">
        <f t="array" ref="C16">_xlfn.TEXTBEFORE(B16,"-")</f>
        <v>SLHTLFGDELCKVASLR</v>
      </c>
      <c r="D16" t="str" s="5" cm="1">
        <f t="array" ref="D16">_xlfn.TEXTBEFORE(_xlfn.TEXTAFTER(B16,"-"),"-")</f>
        <v>LVNELTEFAK</v>
      </c>
      <c r="E16" s="6" cm="1">
        <f t="array" ref="E16">VALUE(_xlfn.TEXTAFTER(_xlfn.TEXTBEFORE(_xlfn.TEXTAFTER(B16,"-",2),"-"),"a"))</f>
        <v>12</v>
      </c>
      <c r="F16" s="6" cm="1">
        <f t="array" ref="F16">VALUE(_xlfn.TEXTAFTER(_xlfn.TEXTAFTER(B16,"-",2),"b"))</f>
        <v>4</v>
      </c>
      <c r="G16" t="s" s="2">
        <v>50</v>
      </c>
      <c r="H16" t="str" s="5">
        <v>P02769</v>
      </c>
      <c r="I16" t="s" s="2">
        <v>50</v>
      </c>
      <c r="J16" t="str" s="5">
        <v>P02769</v>
      </c>
      <c r="K16" s="7">
        <v>76</v>
      </c>
      <c r="L16" s="7">
        <v>45</v>
      </c>
      <c r="M16" s="6">
        <v>3089.641</v>
      </c>
      <c r="N16" s="6">
        <v>618.936</v>
      </c>
      <c r="O16" s="6">
        <v>5</v>
      </c>
      <c r="P16" s="6">
        <v>6.1</v>
      </c>
      <c r="Q16" s="6">
        <v>0.37</v>
      </c>
      <c r="R16" s="6">
        <v>0.55</v>
      </c>
      <c r="S16" s="8">
        <v>24.94</v>
      </c>
      <c r="T16" s="9">
        <v>12.5</v>
      </c>
      <c r="U16" t="s" s="2">
        <v>26</v>
      </c>
      <c r="V16" s="5"/>
      <c r="W16" s="5"/>
    </row>
    <row r="17" ht="13.55" customHeight="1">
      <c r="A17" s="6">
        <v>1</v>
      </c>
      <c r="B17" t="s" s="2">
        <v>65</v>
      </c>
      <c r="C17" t="str" s="5" cm="1">
        <f t="array" ref="C17">_xlfn.TEXTBEFORE(B17,"-")</f>
        <v>LKPDPNTLCDEFKADEK</v>
      </c>
      <c r="D17" t="str" s="5" cm="1">
        <f t="array" ref="D17">_xlfn.TEXTBEFORE(_xlfn.TEXTAFTER(B17,"-"),"-")</f>
        <v>YLYEIAR</v>
      </c>
      <c r="E17" s="6" cm="1">
        <f t="array" ref="E17">VALUE(_xlfn.TEXTAFTER(_xlfn.TEXTBEFORE(_xlfn.TEXTAFTER(B17,"-",2),"-"),"a"))</f>
        <v>2</v>
      </c>
      <c r="F17" s="6" cm="1">
        <f t="array" ref="F17">VALUE(_xlfn.TEXTAFTER(_xlfn.TEXTAFTER(B17,"-",2),"b"))</f>
        <v>4</v>
      </c>
      <c r="G17" t="s" s="2">
        <v>50</v>
      </c>
      <c r="H17" t="str" s="5">
        <v>P02769</v>
      </c>
      <c r="I17" t="s" s="2">
        <v>50</v>
      </c>
      <c r="J17" t="str" s="5">
        <v>P02769</v>
      </c>
      <c r="K17" s="7">
        <v>116</v>
      </c>
      <c r="L17" s="7">
        <v>140</v>
      </c>
      <c r="M17" s="6">
        <v>2927.453</v>
      </c>
      <c r="N17" s="6">
        <v>586.498</v>
      </c>
      <c r="O17" s="6">
        <v>5</v>
      </c>
      <c r="P17" s="6">
        <v>5.4</v>
      </c>
      <c r="Q17" s="6">
        <v>0.38</v>
      </c>
      <c r="R17" s="6">
        <v>0.5600000000000001</v>
      </c>
      <c r="S17" s="8">
        <v>24.9</v>
      </c>
      <c r="T17" s="9">
        <v>12.7</v>
      </c>
      <c r="U17" t="s" s="2">
        <v>26</v>
      </c>
      <c r="V17" s="5"/>
      <c r="W17" s="5"/>
    </row>
    <row r="18" ht="13.55" customHeight="1">
      <c r="A18" s="6">
        <v>1</v>
      </c>
      <c r="B18" t="s" s="2">
        <v>68</v>
      </c>
      <c r="C18" t="str" s="5" cm="1">
        <f t="array" ref="C18">_xlfn.TEXTBEFORE(B18,"-")</f>
        <v>DAFLGSFLYEYSR</v>
      </c>
      <c r="D18" t="str" s="5" cm="1">
        <f t="array" ref="D18">_xlfn.TEXTBEFORE(_xlfn.TEXTAFTER(B18,"-"),"-")</f>
        <v>ALKAWSVAR</v>
      </c>
      <c r="E18" s="6" cm="1">
        <f t="array" ref="E18">VALUE(_xlfn.TEXTAFTER(_xlfn.TEXTBEFORE(_xlfn.TEXTAFTER(B18,"-",2),"-"),"a"))</f>
        <v>1</v>
      </c>
      <c r="F18" s="6" cm="1">
        <f t="array" ref="F18">VALUE(_xlfn.TEXTAFTER(_xlfn.TEXTAFTER(B18,"-",2),"b"))</f>
        <v>3</v>
      </c>
      <c r="G18" t="s" s="2">
        <v>50</v>
      </c>
      <c r="H18" t="str" s="5">
        <v>P02769</v>
      </c>
      <c r="I18" t="s" s="2">
        <v>50</v>
      </c>
      <c r="J18" t="str" s="5">
        <v>P02769</v>
      </c>
      <c r="K18" s="7">
        <v>323</v>
      </c>
      <c r="L18" s="7">
        <v>211</v>
      </c>
      <c r="M18" s="6">
        <v>2549.33</v>
      </c>
      <c r="N18" s="6">
        <v>850.784</v>
      </c>
      <c r="O18" s="6">
        <v>3</v>
      </c>
      <c r="P18" s="6">
        <v>9</v>
      </c>
      <c r="Q18" s="6">
        <v>0.38</v>
      </c>
      <c r="R18" s="6">
        <v>0.61</v>
      </c>
      <c r="S18" s="8">
        <v>23.78</v>
      </c>
      <c r="T18" s="9">
        <v>10.3</v>
      </c>
      <c r="U18" t="s" s="2">
        <v>26</v>
      </c>
      <c r="V18" s="5"/>
      <c r="W18" s="5"/>
    </row>
    <row r="19" ht="13.55" customHeight="1">
      <c r="A19" s="6">
        <v>1</v>
      </c>
      <c r="B19" t="s" s="2">
        <v>71</v>
      </c>
      <c r="C19" t="str" s="5" cm="1">
        <f t="array" ref="C19">_xlfn.TEXTBEFORE(B19,"-")</f>
        <v>LCVLHEKTPVSEK</v>
      </c>
      <c r="D19" t="str" s="5" cm="1">
        <f t="array" ref="D19">_xlfn.TEXTBEFORE(_xlfn.TEXTAFTER(B19,"-"),"-")</f>
        <v>DDSPDLPK</v>
      </c>
      <c r="E19" s="6" cm="1">
        <f t="array" ref="E19">VALUE(_xlfn.TEXTAFTER(_xlfn.TEXTBEFORE(_xlfn.TEXTAFTER(B19,"-",2),"-"),"a"))</f>
        <v>7</v>
      </c>
      <c r="F19" s="6" cm="1">
        <f t="array" ref="F19">VALUE(_xlfn.TEXTAFTER(_xlfn.TEXTAFTER(B19,"-",2),"b"))</f>
        <v>2</v>
      </c>
      <c r="G19" t="s" s="2">
        <v>50</v>
      </c>
      <c r="H19" t="str" s="5">
        <v>P02769</v>
      </c>
      <c r="I19" t="s" s="2">
        <v>50</v>
      </c>
      <c r="J19" t="str" s="5">
        <v>P02769</v>
      </c>
      <c r="K19" s="7">
        <v>465</v>
      </c>
      <c r="L19" t="s" s="3">
        <v>74</v>
      </c>
      <c r="M19" s="6">
        <v>2406.222</v>
      </c>
      <c r="N19" s="6">
        <v>602.563</v>
      </c>
      <c r="O19" s="6">
        <v>4</v>
      </c>
      <c r="P19" s="6">
        <v>4.9</v>
      </c>
      <c r="Q19" s="6">
        <v>0.32</v>
      </c>
      <c r="R19" s="6">
        <v>0.66</v>
      </c>
      <c r="S19" s="8">
        <v>23.03</v>
      </c>
      <c r="T19" t="s" s="14">
        <v>75</v>
      </c>
      <c r="U19" t="s" s="2">
        <v>26</v>
      </c>
      <c r="V19" s="15"/>
      <c r="W19" s="5"/>
    </row>
    <row r="20" ht="13.55" customHeight="1">
      <c r="A20" s="5"/>
      <c r="B20" t="s" s="2">
        <v>76</v>
      </c>
      <c r="C20" t="str" s="5" cm="1">
        <f t="array" ref="C20">_xlfn.TEXTBEFORE(B20,"-")</f>
        <v>LCVLHEKTPVSEK</v>
      </c>
      <c r="D20" t="str" s="5" cm="1">
        <f t="array" ref="D20">_xlfn.TEXTBEFORE(_xlfn.TEXTAFTER(B20,"-"),"-")</f>
        <v>DDSPDLPK</v>
      </c>
      <c r="E20" s="6" cm="1">
        <f t="array" ref="E20">VALUE(_xlfn.TEXTAFTER(_xlfn.TEXTBEFORE(_xlfn.TEXTAFTER(B20,"-",2),"-"),"a"))</f>
        <v>7</v>
      </c>
      <c r="F20" s="6" cm="1">
        <f t="array" ref="F20">VALUE(_xlfn.TEXTAFTER(_xlfn.TEXTAFTER(B20,"-",2),"b"))</f>
        <v>1</v>
      </c>
      <c r="G20" t="s" s="2">
        <v>50</v>
      </c>
      <c r="H20" t="str" s="5">
        <v>P02769</v>
      </c>
      <c r="I20" t="s" s="2">
        <v>50</v>
      </c>
      <c r="J20" t="str" s="5">
        <v>P02769</v>
      </c>
      <c r="K20" s="7">
        <v>465</v>
      </c>
      <c r="L20" t="s" s="3">
        <v>74</v>
      </c>
      <c r="M20" s="6">
        <v>2406.222</v>
      </c>
      <c r="N20" s="6">
        <v>602.563</v>
      </c>
      <c r="O20" s="6">
        <v>4</v>
      </c>
      <c r="P20" s="6">
        <v>4.9</v>
      </c>
      <c r="Q20" s="6">
        <v>0.32</v>
      </c>
      <c r="R20" s="6">
        <v>0.66</v>
      </c>
      <c r="S20" s="8">
        <v>23.03</v>
      </c>
      <c r="T20" t="s" s="14">
        <v>75</v>
      </c>
      <c r="U20" t="s" s="2">
        <v>26</v>
      </c>
      <c r="V20" s="15"/>
      <c r="W20" s="5"/>
    </row>
    <row r="21" ht="13.55" customHeight="1">
      <c r="A21" s="6">
        <v>1</v>
      </c>
      <c r="B21" t="s" s="2">
        <v>77</v>
      </c>
      <c r="C21" t="str" s="5" cm="1">
        <f t="array" ref="C21">_xlfn.TEXTBEFORE(B21,"-")</f>
        <v>RPCFSALTPDETYVPK</v>
      </c>
      <c r="D21" t="str" s="5" cm="1">
        <f t="array" ref="D21">_xlfn.TEXTBEFORE(_xlfn.TEXTAFTER(B21,"-"),"-")</f>
        <v>HKPKATEEQLK</v>
      </c>
      <c r="E21" s="6" cm="1">
        <f t="array" ref="E21">VALUE(_xlfn.TEXTAFTER(_xlfn.TEXTBEFORE(_xlfn.TEXTAFTER(B21,"-",2),"-"),"a"))</f>
        <v>10</v>
      </c>
      <c r="F21" s="6" cm="1">
        <f t="array" ref="F21">VALUE(_xlfn.TEXTAFTER(_xlfn.TEXTAFTER(B21,"-",2),"b"))</f>
        <v>4</v>
      </c>
      <c r="G21" t="s" s="2">
        <v>50</v>
      </c>
      <c r="H21" t="str" s="5">
        <v>P02769</v>
      </c>
      <c r="I21" t="s" s="2">
        <v>50</v>
      </c>
      <c r="J21" t="str" s="5">
        <v>P02769</v>
      </c>
      <c r="K21" s="7">
        <v>493</v>
      </c>
      <c r="L21" s="7">
        <v>537</v>
      </c>
      <c r="M21" s="6">
        <v>3169.638</v>
      </c>
      <c r="N21" s="6">
        <v>634.9349999999999</v>
      </c>
      <c r="O21" s="6">
        <v>5</v>
      </c>
      <c r="P21" s="6">
        <v>4.7</v>
      </c>
      <c r="Q21" s="6">
        <v>0.3</v>
      </c>
      <c r="R21" s="6">
        <v>0.6</v>
      </c>
      <c r="S21" s="8">
        <v>19.16</v>
      </c>
      <c r="T21" s="9">
        <v>10.4</v>
      </c>
      <c r="U21" t="s" s="2">
        <v>26</v>
      </c>
      <c r="V21" s="5"/>
      <c r="W21" s="5"/>
    </row>
    <row r="22" ht="13.55" customHeight="1">
      <c r="A22" s="6">
        <v>1</v>
      </c>
      <c r="B22" t="s" s="2">
        <v>80</v>
      </c>
      <c r="C22" t="str" s="5" cm="1">
        <f t="array" ref="C22">_xlfn.TEXTBEFORE(B22,"-")</f>
        <v>LKPDPNTLCDEFK</v>
      </c>
      <c r="D22" t="str" s="5" cm="1">
        <f t="array" ref="D22">_xlfn.TEXTBEFORE(_xlfn.TEXTAFTER(B22,"-"),"-")</f>
        <v>FWGKYLYEIAR</v>
      </c>
      <c r="E22" s="6" cm="1">
        <f t="array" ref="E22">VALUE(_xlfn.TEXTAFTER(_xlfn.TEXTBEFORE(_xlfn.TEXTAFTER(B22,"-",2),"-"),"a"))</f>
        <v>11</v>
      </c>
      <c r="F22" s="6" cm="1">
        <f t="array" ref="F22">VALUE(_xlfn.TEXTAFTER(_xlfn.TEXTAFTER(B22,"-",2),"b"))</f>
        <v>4</v>
      </c>
      <c r="G22" t="s" s="2">
        <v>50</v>
      </c>
      <c r="H22" t="str" s="5">
        <v>P02769</v>
      </c>
      <c r="I22" t="s" s="2">
        <v>50</v>
      </c>
      <c r="J22" t="str" s="5">
        <v>P02769</v>
      </c>
      <c r="K22" s="7">
        <v>125</v>
      </c>
      <c r="L22" s="7">
        <v>136</v>
      </c>
      <c r="M22" s="6">
        <v>3002.518</v>
      </c>
      <c r="N22" s="6">
        <v>751.6369999999999</v>
      </c>
      <c r="O22" s="6">
        <v>4</v>
      </c>
      <c r="P22" s="6">
        <v>6.1</v>
      </c>
      <c r="Q22" s="6">
        <v>0.21</v>
      </c>
      <c r="R22" s="6">
        <v>0.71</v>
      </c>
      <c r="S22" s="8">
        <v>18.94</v>
      </c>
      <c r="T22" s="9">
        <v>10.4</v>
      </c>
      <c r="U22" t="s" s="2">
        <v>26</v>
      </c>
      <c r="V22" s="5"/>
      <c r="W22" s="5"/>
    </row>
    <row r="23" ht="13.55" customHeight="1">
      <c r="A23" s="6">
        <v>1</v>
      </c>
      <c r="B23" t="s" s="2">
        <v>83</v>
      </c>
      <c r="C23" t="str" s="5" cm="1">
        <f t="array" ref="C23">_xlfn.TEXTBEFORE(B23,"-")</f>
        <v>RPCFSALTPDETYVPK</v>
      </c>
      <c r="D23" t="str" s="5" cm="1">
        <f t="array" ref="D23">_xlfn.TEXTBEFORE(_xlfn.TEXTAFTER(B23,"-"),"-")</f>
        <v>HKPKATEEQLK</v>
      </c>
      <c r="E23" s="6" cm="1">
        <f t="array" ref="E23">VALUE(_xlfn.TEXTAFTER(_xlfn.TEXTBEFORE(_xlfn.TEXTAFTER(B23,"-",2),"-"),"a"))</f>
        <v>11</v>
      </c>
      <c r="F23" s="6" cm="1">
        <f t="array" ref="F23">VALUE(_xlfn.TEXTAFTER(_xlfn.TEXTAFTER(B23,"-",2),"b"))</f>
        <v>4</v>
      </c>
      <c r="G23" t="s" s="2">
        <v>50</v>
      </c>
      <c r="H23" t="str" s="5">
        <v>P02769</v>
      </c>
      <c r="I23" t="s" s="2">
        <v>50</v>
      </c>
      <c r="J23" t="str" s="5">
        <v>P02769</v>
      </c>
      <c r="K23" s="7">
        <v>494</v>
      </c>
      <c r="L23" s="7">
        <v>537</v>
      </c>
      <c r="M23" s="6">
        <v>3169.641</v>
      </c>
      <c r="N23" s="6">
        <v>793.418</v>
      </c>
      <c r="O23" s="6">
        <v>4</v>
      </c>
      <c r="P23" s="6">
        <v>5.7</v>
      </c>
      <c r="Q23" s="6">
        <v>0.17</v>
      </c>
      <c r="R23" s="6">
        <v>0.82</v>
      </c>
      <c r="S23" s="8">
        <v>17.01</v>
      </c>
      <c r="T23" s="9">
        <v>9.5</v>
      </c>
      <c r="U23" t="s" s="2">
        <v>26</v>
      </c>
      <c r="V23" s="5"/>
      <c r="W23" s="5"/>
    </row>
    <row r="24" ht="13.55" customHeight="1">
      <c r="A24" s="6">
        <v>1</v>
      </c>
      <c r="B24" t="s" s="2">
        <v>84</v>
      </c>
      <c r="C24" t="str" s="5" cm="1">
        <f t="array" ref="C24">_xlfn.TEXTBEFORE(B24,"-")</f>
        <v>DLLFKDLTK</v>
      </c>
      <c r="D24" t="str" s="5" cm="1">
        <f t="array" ref="D24">_xlfn.TEXTBEFORE(_xlfn.TEXTAFTER(B24,"-"),"-")</f>
        <v>FMMFESQNK</v>
      </c>
      <c r="E24" s="6" cm="1">
        <f t="array" ref="E24">VALUE(_xlfn.TEXTAFTER(_xlfn.TEXTBEFORE(_xlfn.TEXTAFTER(B24,"-",2),"-"),"a"))</f>
        <v>5</v>
      </c>
      <c r="F24" s="6" cm="1">
        <f t="array" ref="F24">VALUE(_xlfn.TEXTAFTER(_xlfn.TEXTAFTER(B24,"-",2),"b"))</f>
        <v>5</v>
      </c>
      <c r="G24" t="s" s="2">
        <v>87</v>
      </c>
      <c r="H24" t="str" s="5">
        <v>P02789</v>
      </c>
      <c r="I24" t="s" s="2">
        <v>87</v>
      </c>
      <c r="J24" t="str" s="5">
        <v>P02789</v>
      </c>
      <c r="K24" s="7">
        <v>638</v>
      </c>
      <c r="L24" s="7">
        <v>629</v>
      </c>
      <c r="M24" s="6">
        <v>2234.123</v>
      </c>
      <c r="N24" s="6">
        <v>745.716</v>
      </c>
      <c r="O24" s="6">
        <v>3</v>
      </c>
      <c r="P24" s="6">
        <v>5.3</v>
      </c>
      <c r="Q24" s="6">
        <v>0.4</v>
      </c>
      <c r="R24" s="6">
        <v>0.83</v>
      </c>
      <c r="S24" s="8">
        <v>30.14</v>
      </c>
      <c r="T24" s="9">
        <v>7.7</v>
      </c>
      <c r="U24" t="s" s="2">
        <v>26</v>
      </c>
      <c r="V24" s="5"/>
      <c r="W24" s="5"/>
    </row>
    <row r="25" ht="13.55" customHeight="1">
      <c r="A25" s="6">
        <v>1</v>
      </c>
      <c r="B25" t="s" s="2">
        <v>89</v>
      </c>
      <c r="C25" t="str" s="5" cm="1">
        <f t="array" ref="C25">_xlfn.TEXTBEFORE(B25,"-")</f>
        <v>AQSDFGVDTK</v>
      </c>
      <c r="D25" t="str" s="5" cm="1">
        <f t="array" ref="D25">_xlfn.TEXTBEFORE(_xlfn.TEXTAFTER(B25,"-"),"-")</f>
        <v>KDPVLK</v>
      </c>
      <c r="E25" s="6" cm="1">
        <f t="array" ref="E25">VALUE(_xlfn.TEXTAFTER(_xlfn.TEXTBEFORE(_xlfn.TEXTAFTER(B25,"-",2),"-"),"a"))</f>
        <v>8</v>
      </c>
      <c r="F25" s="6" cm="1">
        <f t="array" ref="F25">VALUE(_xlfn.TEXTAFTER(_xlfn.TEXTAFTER(B25,"-",2),"b"))</f>
        <v>1</v>
      </c>
      <c r="G25" t="s" s="2">
        <v>87</v>
      </c>
      <c r="H25" t="str" s="5">
        <v>P02789</v>
      </c>
      <c r="I25" t="s" s="2">
        <v>87</v>
      </c>
      <c r="J25" t="str" s="5">
        <v>P02789</v>
      </c>
      <c r="K25" s="7">
        <v>277</v>
      </c>
      <c r="L25" s="7">
        <v>291</v>
      </c>
      <c r="M25" s="6">
        <v>1746.922</v>
      </c>
      <c r="N25" s="6">
        <v>437.738</v>
      </c>
      <c r="O25" s="6">
        <v>4</v>
      </c>
      <c r="P25" s="6">
        <v>3.9</v>
      </c>
      <c r="Q25" s="6">
        <v>0.49</v>
      </c>
      <c r="R25" s="6">
        <v>0.64</v>
      </c>
      <c r="S25" s="8">
        <v>29.24</v>
      </c>
      <c r="T25" s="9">
        <v>19.8</v>
      </c>
      <c r="U25" t="s" s="2">
        <v>26</v>
      </c>
      <c r="V25" s="5"/>
      <c r="W25" s="5"/>
    </row>
    <row r="26" ht="13.55" customHeight="1">
      <c r="A26" s="6">
        <v>1</v>
      </c>
      <c r="B26" t="s" s="2">
        <v>92</v>
      </c>
      <c r="C26" t="str" s="5" cm="1">
        <f t="array" ref="C26">_xlfn.TEXTBEFORE(B26,"-")</f>
        <v>VEDIWSFLSK</v>
      </c>
      <c r="D26" t="str" s="5" cm="1">
        <f t="array" ref="D26">_xlfn.TEXTBEFORE(_xlfn.TEXTAFTER(B26,"-"),"-")</f>
        <v>APPKSVIR</v>
      </c>
      <c r="E26" s="6" cm="1">
        <f t="array" ref="E26">VALUE(_xlfn.TEXTAFTER(_xlfn.TEXTBEFORE(_xlfn.TEXTAFTER(B26,"-",2),"-"),"a"))</f>
        <v>3</v>
      </c>
      <c r="F26" s="6" cm="1">
        <f t="array" ref="F26">VALUE(_xlfn.TEXTAFTER(_xlfn.TEXTAFTER(B26,"-",2),"b"))</f>
        <v>4</v>
      </c>
      <c r="G26" t="s" s="2">
        <v>87</v>
      </c>
      <c r="H26" t="str" s="5">
        <v>P02789</v>
      </c>
      <c r="I26" t="s" s="2">
        <v>87</v>
      </c>
      <c r="J26" t="str" s="5">
        <v>P02789</v>
      </c>
      <c r="K26" s="7">
        <v>262</v>
      </c>
      <c r="L26" s="7">
        <v>4</v>
      </c>
      <c r="M26" s="6">
        <v>2071.158</v>
      </c>
      <c r="N26" s="6">
        <v>518.797</v>
      </c>
      <c r="O26" s="6">
        <v>4</v>
      </c>
      <c r="P26" s="6">
        <v>5.7</v>
      </c>
      <c r="Q26" s="6">
        <v>0.27</v>
      </c>
      <c r="R26" s="6">
        <v>0.87</v>
      </c>
      <c r="S26" s="8">
        <v>28.48</v>
      </c>
      <c r="T26" t="s" s="4">
        <v>95</v>
      </c>
      <c r="U26" t="s" s="2">
        <v>26</v>
      </c>
      <c r="V26" s="5"/>
      <c r="W26" s="5"/>
    </row>
    <row r="27" ht="13.55" customHeight="1">
      <c r="A27" s="6">
        <v>1</v>
      </c>
      <c r="B27" t="s" s="2">
        <v>96</v>
      </c>
      <c r="C27" t="str" s="5" cm="1">
        <f t="array" ref="C27">_xlfn.TEXTBEFORE(B27,"-")</f>
        <v>NLQMDDFELLCTDGR</v>
      </c>
      <c r="D27" t="str" s="5" cm="1">
        <f t="array" ref="D27">_xlfn.TEXTBEFORE(_xlfn.TEXTAFTER(B27,"-"),"-")</f>
        <v>KDSNVNWNNLK</v>
      </c>
      <c r="E27" s="6" cm="1">
        <f t="array" ref="E27">VALUE(_xlfn.TEXTAFTER(_xlfn.TEXTBEFORE(_xlfn.TEXTAFTER(B27,"-",2),"-"),"a"))</f>
        <v>8</v>
      </c>
      <c r="F27" s="6" cm="1">
        <f t="array" ref="F27">VALUE(_xlfn.TEXTAFTER(_xlfn.TEXTAFTER(B27,"-",2),"b"))</f>
        <v>1</v>
      </c>
      <c r="G27" t="s" s="2">
        <v>87</v>
      </c>
      <c r="H27" t="str" s="5">
        <v>P02789</v>
      </c>
      <c r="I27" t="s" s="2">
        <v>87</v>
      </c>
      <c r="J27" t="str" s="5">
        <v>P02789</v>
      </c>
      <c r="K27" s="7">
        <v>567</v>
      </c>
      <c r="L27" s="7">
        <v>439</v>
      </c>
      <c r="M27" s="6">
        <v>3138.469</v>
      </c>
      <c r="N27" s="6">
        <v>1047.164</v>
      </c>
      <c r="O27" s="6">
        <v>3</v>
      </c>
      <c r="P27" s="6">
        <v>6.1</v>
      </c>
      <c r="Q27" s="6">
        <v>0.33</v>
      </c>
      <c r="R27" s="6">
        <v>0.8100000000000001</v>
      </c>
      <c r="S27" s="8">
        <v>27.44</v>
      </c>
      <c r="T27" s="9">
        <v>5.2</v>
      </c>
      <c r="U27" t="s" s="2">
        <v>26</v>
      </c>
      <c r="V27" s="5"/>
      <c r="W27" s="5"/>
    </row>
    <row r="28" ht="13.55" customHeight="1">
      <c r="A28" s="6">
        <v>1</v>
      </c>
      <c r="B28" t="s" s="2">
        <v>99</v>
      </c>
      <c r="C28" t="str" s="5" cm="1">
        <f t="array" ref="C28">_xlfn.TEXTBEFORE(B28,"-")</f>
        <v>IRDLLER</v>
      </c>
      <c r="D28" t="str" s="5" cm="1">
        <f t="array" ref="D28">_xlfn.TEXTBEFORE(_xlfn.TEXTAFTER(B28,"-"),"-")</f>
        <v>CLFKVR</v>
      </c>
      <c r="E28" s="6" cm="1">
        <f t="array" ref="E28">VALUE(_xlfn.TEXTAFTER(_xlfn.TEXTBEFORE(_xlfn.TEXTAFTER(B28,"-",2),"-"),"a"))</f>
        <v>6</v>
      </c>
      <c r="F28" s="6" cm="1">
        <f t="array" ref="F28">VALUE(_xlfn.TEXTAFTER(_xlfn.TEXTAFTER(B28,"-",2),"b"))</f>
        <v>4</v>
      </c>
      <c r="G28" t="s" s="2">
        <v>87</v>
      </c>
      <c r="H28" t="str" s="5">
        <v>P02789</v>
      </c>
      <c r="I28" t="s" s="2">
        <v>87</v>
      </c>
      <c r="J28" t="str" s="5">
        <v>P02789</v>
      </c>
      <c r="K28" s="7">
        <v>609</v>
      </c>
      <c r="L28" s="7">
        <v>646</v>
      </c>
      <c r="M28" s="6">
        <v>1716.989</v>
      </c>
      <c r="N28" s="6">
        <v>430.255</v>
      </c>
      <c r="O28" s="6">
        <v>4</v>
      </c>
      <c r="P28" s="6">
        <v>4.2</v>
      </c>
      <c r="Q28" s="6">
        <v>0.53</v>
      </c>
      <c r="R28" s="6">
        <v>0.88</v>
      </c>
      <c r="S28" s="8">
        <v>26.86</v>
      </c>
      <c r="T28" s="9">
        <v>8.699999999999999</v>
      </c>
      <c r="U28" t="s" s="2">
        <v>26</v>
      </c>
      <c r="V28" s="5"/>
      <c r="W28" s="5"/>
    </row>
    <row r="29" ht="13.55" customHeight="1">
      <c r="A29" s="6">
        <v>1</v>
      </c>
      <c r="B29" t="s" s="2">
        <v>102</v>
      </c>
      <c r="C29" t="str" s="5" cm="1">
        <f t="array" ref="C29">_xlfn.TEXTBEFORE(B29,"-")</f>
        <v>SDFHLFGPPGK</v>
      </c>
      <c r="D29" t="str" s="5" cm="1">
        <f t="array" ref="D29">_xlfn.TEXTBEFORE(_xlfn.TEXTAFTER(B29,"-"),"-")</f>
        <v>KDPVLK</v>
      </c>
      <c r="E29" s="6" cm="1">
        <f t="array" ref="E29">VALUE(_xlfn.TEXTAFTER(_xlfn.TEXTBEFORE(_xlfn.TEXTAFTER(B29,"-",2),"-"),"a"))</f>
        <v>2</v>
      </c>
      <c r="F29" s="6" cm="1">
        <f t="array" ref="F29">VALUE(_xlfn.TEXTAFTER(_xlfn.TEXTAFTER(B29,"-",2),"b"))</f>
        <v>1</v>
      </c>
      <c r="G29" t="s" s="2">
        <v>87</v>
      </c>
      <c r="H29" t="str" s="5">
        <v>P02789</v>
      </c>
      <c r="I29" t="s" s="2">
        <v>87</v>
      </c>
      <c r="J29" t="str" s="5">
        <v>P02789</v>
      </c>
      <c r="K29" s="7">
        <v>281</v>
      </c>
      <c r="L29" s="7">
        <v>291</v>
      </c>
      <c r="M29" s="6">
        <v>1881.021</v>
      </c>
      <c r="N29" s="6">
        <v>471.263</v>
      </c>
      <c r="O29" s="6">
        <v>4</v>
      </c>
      <c r="P29" s="6">
        <v>3</v>
      </c>
      <c r="Q29" s="6">
        <v>0.46</v>
      </c>
      <c r="R29" s="6">
        <v>0.8</v>
      </c>
      <c r="S29" s="8">
        <v>26.28</v>
      </c>
      <c r="T29" s="9">
        <v>15.8</v>
      </c>
      <c r="U29" t="s" s="2">
        <v>26</v>
      </c>
      <c r="V29" s="5"/>
      <c r="W29" s="5"/>
    </row>
    <row r="30" ht="13.55" customHeight="1">
      <c r="A30" s="6">
        <v>1</v>
      </c>
      <c r="B30" t="s" s="2">
        <v>104</v>
      </c>
      <c r="C30" t="str" s="5" cm="1">
        <f t="array" ref="C30">_xlfn.TEXTBEFORE(B30,"-")</f>
        <v>YDDESQCSK</v>
      </c>
      <c r="D30" t="str" s="5" cm="1">
        <f t="array" ref="D30">_xlfn.TEXTBEFORE(_xlfn.TEXTAFTER(B30,"-"),"-")</f>
        <v>DLTKCLFK</v>
      </c>
      <c r="E30" s="6" cm="1">
        <f t="array" ref="E30">VALUE(_xlfn.TEXTAFTER(_xlfn.TEXTBEFORE(_xlfn.TEXTAFTER(B30,"-",2),"-"),"a"))</f>
        <v>4</v>
      </c>
      <c r="F30" s="6" cm="1">
        <f t="array" ref="F30">VALUE(_xlfn.TEXTAFTER(_xlfn.TEXTAFTER(B30,"-",2),"b"))</f>
        <v>4</v>
      </c>
      <c r="G30" t="s" s="2">
        <v>87</v>
      </c>
      <c r="H30" t="str" s="5">
        <v>P02789</v>
      </c>
      <c r="I30" t="s" s="2">
        <v>87</v>
      </c>
      <c r="J30" t="str" s="5">
        <v>P02789</v>
      </c>
      <c r="K30" s="7">
        <v>418</v>
      </c>
      <c r="L30" s="7">
        <v>642</v>
      </c>
      <c r="M30" s="6">
        <v>2135.961</v>
      </c>
      <c r="N30" s="6">
        <v>712.995</v>
      </c>
      <c r="O30" s="6">
        <v>3</v>
      </c>
      <c r="P30" s="6">
        <v>5.2</v>
      </c>
      <c r="Q30" s="6">
        <v>0.26</v>
      </c>
      <c r="R30" s="6">
        <v>0.87</v>
      </c>
      <c r="S30" s="8">
        <v>24.6</v>
      </c>
      <c r="T30" s="9">
        <v>4.5</v>
      </c>
      <c r="U30" t="s" s="2">
        <v>26</v>
      </c>
      <c r="V30" s="5"/>
      <c r="W30" s="5"/>
    </row>
    <row r="31" ht="13.55" customHeight="1">
      <c r="A31" s="6">
        <v>1</v>
      </c>
      <c r="B31" t="s" s="2">
        <v>107</v>
      </c>
      <c r="C31" t="str" s="5" cm="1">
        <f t="array" ref="C31">_xlfn.TEXTBEFORE(B31,"-")</f>
        <v>KGTEFTVNDLQGKTSCHTGLGR</v>
      </c>
      <c r="D31" t="str" s="5" cm="1">
        <f t="array" ref="D31">_xlfn.TEXTBEFORE(_xlfn.TEXTAFTER(B31,"-"),"-")</f>
        <v>GDVAFVK</v>
      </c>
      <c r="E31" s="6" cm="1">
        <f t="array" ref="E31">VALUE(_xlfn.TEXTAFTER(_xlfn.TEXTBEFORE(_xlfn.TEXTAFTER(B31,"-",2),"-"),"a"))</f>
        <v>13</v>
      </c>
      <c r="F31" s="6" cm="1">
        <f t="array" ref="F31">VALUE(_xlfn.TEXTAFTER(_xlfn.TEXTAFTER(B31,"-",2),"b"))</f>
        <v>2</v>
      </c>
      <c r="G31" t="s" s="2">
        <v>87</v>
      </c>
      <c r="H31" t="str" s="5">
        <v>P02789</v>
      </c>
      <c r="I31" t="s" s="2">
        <v>87</v>
      </c>
      <c r="J31" t="str" s="5">
        <v>P02789</v>
      </c>
      <c r="K31" s="7">
        <v>112</v>
      </c>
      <c r="L31" s="7">
        <v>204</v>
      </c>
      <c r="M31" s="6">
        <v>3121.576</v>
      </c>
      <c r="N31" s="6">
        <v>781.402</v>
      </c>
      <c r="O31" s="6">
        <v>4</v>
      </c>
      <c r="P31" s="6">
        <v>4.7</v>
      </c>
      <c r="Q31" s="6">
        <v>0.24</v>
      </c>
      <c r="R31" s="6">
        <v>0.49</v>
      </c>
      <c r="S31" s="8">
        <v>22.86</v>
      </c>
      <c r="T31" s="9">
        <v>6.1</v>
      </c>
      <c r="U31" t="s" s="2">
        <v>26</v>
      </c>
      <c r="V31" s="5"/>
      <c r="W31" s="5"/>
    </row>
    <row r="32" ht="13.55" customHeight="1">
      <c r="A32" s="6">
        <v>1</v>
      </c>
      <c r="B32" t="s" s="2">
        <v>110</v>
      </c>
      <c r="C32" t="str" s="5" cm="1">
        <f t="array" ref="C32">_xlfn.TEXTBEFORE(B32,"-")</f>
        <v>DLTKCLFK</v>
      </c>
      <c r="D32" t="str" s="5" cm="1">
        <f t="array" ref="D32">_xlfn.TEXTBEFORE(_xlfn.TEXTAFTER(B32,"-"),"-")</f>
        <v>IRDLLER</v>
      </c>
      <c r="E32" s="6" cm="1">
        <f t="array" ref="E32">VALUE(_xlfn.TEXTAFTER(_xlfn.TEXTBEFORE(_xlfn.TEXTAFTER(B32,"-",2),"-"),"a"))</f>
        <v>4</v>
      </c>
      <c r="F32" s="6" cm="1">
        <f t="array" ref="F32">VALUE(_xlfn.TEXTAFTER(_xlfn.TEXTAFTER(B32,"-",2),"b"))</f>
        <v>6</v>
      </c>
      <c r="G32" t="s" s="2">
        <v>87</v>
      </c>
      <c r="H32" t="str" s="5">
        <v>P02789</v>
      </c>
      <c r="I32" t="s" s="2">
        <v>87</v>
      </c>
      <c r="J32" t="str" s="5">
        <v>P02789</v>
      </c>
      <c r="K32" s="7">
        <v>642</v>
      </c>
      <c r="L32" s="7">
        <v>609</v>
      </c>
      <c r="M32" s="6">
        <v>1919.072</v>
      </c>
      <c r="N32" s="6">
        <v>480.776</v>
      </c>
      <c r="O32" s="6">
        <v>4</v>
      </c>
      <c r="P32" s="6">
        <v>3.1</v>
      </c>
      <c r="Q32" s="6">
        <v>0.49</v>
      </c>
      <c r="R32" s="6">
        <v>0.59</v>
      </c>
      <c r="S32" s="8">
        <v>22.54</v>
      </c>
      <c r="T32" s="9">
        <v>13.6</v>
      </c>
      <c r="U32" t="s" s="2">
        <v>26</v>
      </c>
      <c r="V32" s="5"/>
      <c r="W32" s="5"/>
    </row>
    <row r="33" ht="13.55" customHeight="1">
      <c r="A33" s="6">
        <v>1</v>
      </c>
      <c r="B33" t="s" s="2">
        <v>111</v>
      </c>
      <c r="C33" t="str" s="5" cm="1">
        <f t="array" ref="C33">_xlfn.TEXTBEFORE(B33,"-")</f>
        <v>GAIEWEGIESGSVEQAVAK</v>
      </c>
      <c r="D33" t="str" s="5" cm="1">
        <f t="array" ref="D33">_xlfn.TEXTBEFORE(_xlfn.TEXTAFTER(B33,"-"),"-")</f>
        <v>KDQLTPSPR</v>
      </c>
      <c r="E33" s="6" cm="1">
        <f t="array" ref="E33">VALUE(_xlfn.TEXTAFTER(_xlfn.TEXTBEFORE(_xlfn.TEXTAFTER(B33,"-",2),"-"),"a"))</f>
        <v>9</v>
      </c>
      <c r="F33" s="6" cm="1">
        <f t="array" ref="F33">VALUE(_xlfn.TEXTAFTER(_xlfn.TEXTAFTER(B33,"-",2),"b"))</f>
        <v>1</v>
      </c>
      <c r="G33" t="s" s="2">
        <v>87</v>
      </c>
      <c r="H33" t="str" s="5">
        <v>P02789</v>
      </c>
      <c r="I33" t="s" s="2">
        <v>87</v>
      </c>
      <c r="J33" t="str" s="5">
        <v>P02789</v>
      </c>
      <c r="K33" s="7">
        <v>144</v>
      </c>
      <c r="L33" s="7">
        <v>333</v>
      </c>
      <c r="M33" s="6">
        <v>2981.527</v>
      </c>
      <c r="N33" s="6">
        <v>746.39</v>
      </c>
      <c r="O33" s="6">
        <v>4</v>
      </c>
      <c r="P33" s="6">
        <v>6</v>
      </c>
      <c r="Q33" s="6">
        <v>0.35</v>
      </c>
      <c r="R33" s="6">
        <v>0.61</v>
      </c>
      <c r="S33" s="8">
        <v>22.23</v>
      </c>
      <c r="T33" s="9">
        <v>8.6</v>
      </c>
      <c r="U33" t="s" s="2">
        <v>26</v>
      </c>
      <c r="V33" s="5"/>
      <c r="W33" s="5"/>
    </row>
    <row r="34" ht="13.55" customHeight="1">
      <c r="A34" s="6">
        <v>1</v>
      </c>
      <c r="B34" t="s" s="2">
        <v>114</v>
      </c>
      <c r="C34" t="str" s="5" cm="1">
        <f t="array" ref="C34">_xlfn.TEXTBEFORE(B34,"-")</f>
        <v>TDERPASYFAVAVAR</v>
      </c>
      <c r="D34" t="str" s="5" cm="1">
        <f t="array" ref="D34">_xlfn.TEXTBEFORE(_xlfn.TEXTAFTER(B34,"-"),"-")</f>
        <v>DLLFKDLTK</v>
      </c>
      <c r="E34" s="6" cm="1">
        <f t="array" ref="E34">VALUE(_xlfn.TEXTAFTER(_xlfn.TEXTBEFORE(_xlfn.TEXTAFTER(B34,"-",2),"-"),"a"))</f>
        <v>3</v>
      </c>
      <c r="F34" s="6" cm="1">
        <f t="array" ref="F34">VALUE(_xlfn.TEXTAFTER(_xlfn.TEXTAFTER(B34,"-",2),"b"))</f>
        <v>5</v>
      </c>
      <c r="G34" t="s" s="2">
        <v>87</v>
      </c>
      <c r="H34" t="str" s="5">
        <v>P02789</v>
      </c>
      <c r="I34" t="s" s="2">
        <v>87</v>
      </c>
      <c r="J34" t="str" s="5">
        <v>P02789</v>
      </c>
      <c r="K34" t="s" s="3">
        <v>116</v>
      </c>
      <c r="L34" s="7">
        <v>638</v>
      </c>
      <c r="M34" s="6">
        <v>2725.458</v>
      </c>
      <c r="N34" s="6">
        <v>682.372</v>
      </c>
      <c r="O34" s="6">
        <v>4</v>
      </c>
      <c r="P34" s="6">
        <v>5.3</v>
      </c>
      <c r="Q34" s="6">
        <v>0.35</v>
      </c>
      <c r="R34" s="6">
        <v>0.47</v>
      </c>
      <c r="S34" s="8">
        <v>20.32</v>
      </c>
      <c r="T34" t="s" s="4">
        <v>95</v>
      </c>
      <c r="U34" t="s" s="2">
        <v>26</v>
      </c>
      <c r="V34" s="15"/>
      <c r="W34" s="5"/>
    </row>
    <row r="35" ht="13.55" customHeight="1">
      <c r="A35" s="5"/>
      <c r="B35" t="s" s="2">
        <v>117</v>
      </c>
      <c r="C35" t="str" s="5" cm="1">
        <f t="array" ref="C35">_xlfn.TEXTBEFORE(B35,"-")</f>
        <v>TDERPASYFAVAVAR</v>
      </c>
      <c r="D35" t="str" s="5" cm="1">
        <f t="array" ref="D35">_xlfn.TEXTBEFORE(_xlfn.TEXTAFTER(B35,"-"),"-")</f>
        <v>DLLFKDLTK</v>
      </c>
      <c r="E35" s="6" cm="1">
        <f t="array" ref="E35">VALUE(_xlfn.TEXTAFTER(_xlfn.TEXTBEFORE(_xlfn.TEXTAFTER(B35,"-",2),"-"),"a"))</f>
        <v>2</v>
      </c>
      <c r="F35" s="6" cm="1">
        <f t="array" ref="F35">VALUE(_xlfn.TEXTAFTER(_xlfn.TEXTAFTER(B35,"-",2),"b"))</f>
        <v>5</v>
      </c>
      <c r="G35" t="s" s="2">
        <v>87</v>
      </c>
      <c r="H35" t="str" s="5">
        <v>P02789</v>
      </c>
      <c r="I35" t="s" s="2">
        <v>87</v>
      </c>
      <c r="J35" t="str" s="5">
        <v>P02789</v>
      </c>
      <c r="K35" t="s" s="3">
        <v>116</v>
      </c>
      <c r="L35" s="7">
        <v>638</v>
      </c>
      <c r="M35" s="6">
        <v>2725.458</v>
      </c>
      <c r="N35" s="6">
        <v>682.372</v>
      </c>
      <c r="O35" s="6">
        <v>4</v>
      </c>
      <c r="P35" s="6">
        <v>5.3</v>
      </c>
      <c r="Q35" s="6">
        <v>0.35</v>
      </c>
      <c r="R35" s="6">
        <v>0.47</v>
      </c>
      <c r="S35" s="8">
        <v>20.32</v>
      </c>
      <c r="T35" t="s" s="4">
        <v>95</v>
      </c>
      <c r="U35" t="s" s="2">
        <v>26</v>
      </c>
      <c r="V35" s="15"/>
      <c r="W35" s="5"/>
    </row>
    <row r="36" ht="13.55" customHeight="1">
      <c r="A36" s="6">
        <v>1</v>
      </c>
      <c r="B36" t="s" s="2">
        <v>118</v>
      </c>
      <c r="C36" t="str" s="5" cm="1">
        <f t="array" ref="C36">_xlfn.TEXTBEFORE(B36,"-")</f>
        <v>SKFMMFESQNK</v>
      </c>
      <c r="D36" t="str" s="5" cm="1">
        <f t="array" ref="D36">_xlfn.TEXTBEFORE(_xlfn.TEXTAFTER(B36,"-"),"-")</f>
        <v>RFGVNGSEK</v>
      </c>
      <c r="E36" s="6" cm="1">
        <f t="array" ref="E36">VALUE(_xlfn.TEXTAFTER(_xlfn.TEXTBEFORE(_xlfn.TEXTAFTER(B36,"-",2),"-"),"a"))</f>
        <v>2</v>
      </c>
      <c r="F36" s="6" cm="1">
        <f t="array" ref="F36">VALUE(_xlfn.TEXTAFTER(_xlfn.TEXTAFTER(B36,"-",2),"b"))</f>
        <v>8</v>
      </c>
      <c r="G36" t="s" s="2">
        <v>87</v>
      </c>
      <c r="H36" t="str" s="5">
        <v>P02789</v>
      </c>
      <c r="I36" t="s" s="2">
        <v>87</v>
      </c>
      <c r="J36" t="str" s="5">
        <v>P02789</v>
      </c>
      <c r="K36" s="7">
        <v>624</v>
      </c>
      <c r="L36" s="7">
        <v>621</v>
      </c>
      <c r="M36" s="6">
        <v>2350.131</v>
      </c>
      <c r="N36" s="6">
        <v>588.5410000000001</v>
      </c>
      <c r="O36" s="6">
        <v>4</v>
      </c>
      <c r="P36" s="6">
        <v>5</v>
      </c>
      <c r="Q36" s="6">
        <v>0.35</v>
      </c>
      <c r="R36" s="6">
        <v>0.79</v>
      </c>
      <c r="S36" s="8">
        <v>19.55</v>
      </c>
      <c r="T36" s="9">
        <v>5.6</v>
      </c>
      <c r="U36" t="s" s="2">
        <v>26</v>
      </c>
      <c r="V36" s="5"/>
      <c r="W36" s="5"/>
    </row>
    <row r="37" ht="13.55" customHeight="1">
      <c r="A37" s="6">
        <v>1</v>
      </c>
      <c r="B37" t="s" s="2">
        <v>121</v>
      </c>
      <c r="C37" t="str" s="5" cm="1">
        <f t="array" ref="C37">_xlfn.TEXTBEFORE(B37,"-")</f>
        <v>TDERPASYFAVAVAR</v>
      </c>
      <c r="D37" t="str" s="5" cm="1">
        <f t="array" ref="D37">_xlfn.TEXTBEFORE(_xlfn.TEXTAFTER(B37,"-"),"-")</f>
        <v>CLFKVR</v>
      </c>
      <c r="E37" s="6" cm="1">
        <f t="array" ref="E37">VALUE(_xlfn.TEXTAFTER(_xlfn.TEXTBEFORE(_xlfn.TEXTAFTER(B37,"-",2),"-"),"a"))</f>
        <v>3</v>
      </c>
      <c r="F37" s="6" cm="1">
        <f t="array" ref="F37">VALUE(_xlfn.TEXTAFTER(_xlfn.TEXTAFTER(B37,"-",2),"b"))</f>
        <v>4</v>
      </c>
      <c r="G37" t="s" s="2">
        <v>87</v>
      </c>
      <c r="H37" t="str" s="5">
        <v>P02789</v>
      </c>
      <c r="I37" t="s" s="2">
        <v>87</v>
      </c>
      <c r="J37" t="str" s="5">
        <v>P02789</v>
      </c>
      <c r="K37" t="s" s="3">
        <v>116</v>
      </c>
      <c r="L37" s="7">
        <v>646</v>
      </c>
      <c r="M37" s="6">
        <v>2455.291</v>
      </c>
      <c r="N37" s="6">
        <v>614.831</v>
      </c>
      <c r="O37" s="6">
        <v>4</v>
      </c>
      <c r="P37" s="6">
        <v>4.9</v>
      </c>
      <c r="Q37" s="6">
        <v>0.29</v>
      </c>
      <c r="R37" s="6">
        <v>0.52</v>
      </c>
      <c r="S37" s="8">
        <v>19.09</v>
      </c>
      <c r="T37" t="s" s="4">
        <v>95</v>
      </c>
      <c r="U37" t="s" s="2">
        <v>26</v>
      </c>
      <c r="V37" s="15"/>
      <c r="W37" s="5"/>
    </row>
    <row r="38" ht="13.55" customHeight="1">
      <c r="A38" s="5"/>
      <c r="B38" t="s" s="2">
        <v>122</v>
      </c>
      <c r="C38" t="str" s="5" cm="1">
        <f t="array" ref="C38">_xlfn.TEXTBEFORE(B38,"-")</f>
        <v>TDERPASYFAVAVAR</v>
      </c>
      <c r="D38" t="str" s="5" cm="1">
        <f t="array" ref="D38">_xlfn.TEXTBEFORE(_xlfn.TEXTAFTER(B38,"-"),"-")</f>
        <v>CLFKVR</v>
      </c>
      <c r="E38" s="6" cm="1">
        <f t="array" ref="E38">VALUE(_xlfn.TEXTAFTER(_xlfn.TEXTBEFORE(_xlfn.TEXTAFTER(B38,"-",2),"-"),"a"))</f>
        <v>2</v>
      </c>
      <c r="F38" s="6" cm="1">
        <f t="array" ref="F38">VALUE(_xlfn.TEXTAFTER(_xlfn.TEXTAFTER(B38,"-",2),"b"))</f>
        <v>4</v>
      </c>
      <c r="G38" t="s" s="2">
        <v>87</v>
      </c>
      <c r="H38" t="str" s="5">
        <v>P02789</v>
      </c>
      <c r="I38" t="s" s="2">
        <v>87</v>
      </c>
      <c r="J38" t="str" s="5">
        <v>P02789</v>
      </c>
      <c r="K38" t="s" s="3">
        <v>116</v>
      </c>
      <c r="L38" s="7">
        <v>646</v>
      </c>
      <c r="M38" s="6">
        <v>2455.291</v>
      </c>
      <c r="N38" s="6">
        <v>614.831</v>
      </c>
      <c r="O38" s="6">
        <v>4</v>
      </c>
      <c r="P38" s="6">
        <v>4.9</v>
      </c>
      <c r="Q38" s="6">
        <v>0.29</v>
      </c>
      <c r="R38" s="6">
        <v>0.52</v>
      </c>
      <c r="S38" s="8">
        <v>19.09</v>
      </c>
      <c r="T38" t="s" s="4">
        <v>95</v>
      </c>
      <c r="U38" t="s" s="2">
        <v>26</v>
      </c>
      <c r="V38" s="15"/>
      <c r="W38" s="5"/>
    </row>
    <row r="39" ht="13.55" customHeight="1">
      <c r="A39" s="6">
        <v>1</v>
      </c>
      <c r="B39" t="s" s="2">
        <v>123</v>
      </c>
      <c r="C39" t="str" s="5" cm="1">
        <f t="array" ref="C39">_xlfn.TEXTBEFORE(B39,"-")</f>
        <v>GTEFTVNDLQGKTSCHTGLGR</v>
      </c>
      <c r="D39" t="str" s="5" cm="1">
        <f t="array" ref="D39">_xlfn.TEXTBEFORE(_xlfn.TEXTAFTER(B39,"-"),"-")</f>
        <v>GDVAFVK</v>
      </c>
      <c r="E39" s="6" cm="1">
        <f t="array" ref="E39">VALUE(_xlfn.TEXTAFTER(_xlfn.TEXTBEFORE(_xlfn.TEXTAFTER(B39,"-",2),"-"),"a"))</f>
        <v>12</v>
      </c>
      <c r="F39" s="6" cm="1">
        <f t="array" ref="F39">VALUE(_xlfn.TEXTAFTER(_xlfn.TEXTAFTER(B39,"-",2),"b"))</f>
        <v>2</v>
      </c>
      <c r="G39" t="s" s="2">
        <v>87</v>
      </c>
      <c r="H39" t="str" s="5">
        <v>P02789</v>
      </c>
      <c r="I39" t="s" s="2">
        <v>87</v>
      </c>
      <c r="J39" t="str" s="5">
        <v>P02789</v>
      </c>
      <c r="K39" s="7">
        <v>112</v>
      </c>
      <c r="L39" s="7">
        <v>204</v>
      </c>
      <c r="M39" s="6">
        <v>2993.483</v>
      </c>
      <c r="N39" s="6">
        <v>998.835</v>
      </c>
      <c r="O39" s="6">
        <v>3</v>
      </c>
      <c r="P39" s="6">
        <v>5.5</v>
      </c>
      <c r="Q39" s="6">
        <v>0.17</v>
      </c>
      <c r="R39" s="6">
        <v>0.59</v>
      </c>
      <c r="S39" s="8">
        <v>17.94</v>
      </c>
      <c r="T39" s="9">
        <v>6.1</v>
      </c>
      <c r="U39" t="s" s="2">
        <v>26</v>
      </c>
      <c r="V39" s="5"/>
      <c r="W39" s="5"/>
    </row>
    <row r="40" ht="13.55" customHeight="1">
      <c r="A40" s="6">
        <v>1</v>
      </c>
      <c r="B40" t="s" s="2">
        <v>125</v>
      </c>
      <c r="C40" t="str" s="5" cm="1">
        <f t="array" ref="C40">_xlfn.TEXTBEFORE(B40,"-")</f>
        <v>ECNLAEVPTHAVVVRPEK</v>
      </c>
      <c r="D40" t="str" s="5" cm="1">
        <f t="array" ref="D40">_xlfn.TEXTBEFORE(_xlfn.TEXTAFTER(B40,"-"),"-")</f>
        <v>CLFKVR</v>
      </c>
      <c r="E40" s="6" cm="1">
        <f t="array" ref="E40">VALUE(_xlfn.TEXTAFTER(_xlfn.TEXTBEFORE(_xlfn.TEXTAFTER(B40,"-",2),"-"),"a"))</f>
        <v>6</v>
      </c>
      <c r="F40" s="6" cm="1">
        <f t="array" ref="F40">VALUE(_xlfn.TEXTAFTER(_xlfn.TEXTAFTER(B40,"-",2),"b"))</f>
        <v>4</v>
      </c>
      <c r="G40" t="s" s="2">
        <v>87</v>
      </c>
      <c r="H40" t="str" s="5">
        <v>P02789</v>
      </c>
      <c r="I40" t="s" s="2">
        <v>87</v>
      </c>
      <c r="J40" t="str" s="5">
        <v>P02789</v>
      </c>
      <c r="K40" s="7">
        <v>588</v>
      </c>
      <c r="L40" s="7">
        <v>646</v>
      </c>
      <c r="M40" s="6">
        <v>2850.515</v>
      </c>
      <c r="N40" s="6">
        <v>476.094</v>
      </c>
      <c r="O40" s="6">
        <v>6</v>
      </c>
      <c r="P40" s="6">
        <v>5.3</v>
      </c>
      <c r="Q40" s="6">
        <v>0.1</v>
      </c>
      <c r="R40" s="6">
        <v>0.86</v>
      </c>
      <c r="S40" s="8">
        <v>17.63</v>
      </c>
      <c r="T40" s="9">
        <v>20.3</v>
      </c>
      <c r="U40" t="s" s="2">
        <v>26</v>
      </c>
      <c r="V40" s="5"/>
      <c r="W40" s="5"/>
    </row>
    <row r="41" ht="13.55" customHeight="1">
      <c r="A41" s="6">
        <v>1</v>
      </c>
      <c r="B41" t="s" s="2">
        <v>127</v>
      </c>
      <c r="C41" t="str" s="5" cm="1">
        <f t="array" ref="C41">_xlfn.TEXTBEFORE(B41,"-")</f>
        <v>RFDEILEASDGIMVAR</v>
      </c>
      <c r="D41" t="str" s="5" cm="1">
        <f t="array" ref="D41">_xlfn.TEXTBEFORE(_xlfn.TEXTAFTER(B41,"-"),"-")</f>
        <v>NIKIISK</v>
      </c>
      <c r="E41" s="6" cm="1">
        <f t="array" ref="E41">VALUE(_xlfn.TEXTAFTER(_xlfn.TEXTBEFORE(_xlfn.TEXTAFTER(B41,"-",2),"-"),"a"))</f>
        <v>10</v>
      </c>
      <c r="F41" s="6" cm="1">
        <f t="array" ref="F41">VALUE(_xlfn.TEXTAFTER(_xlfn.TEXTAFTER(B41,"-",2),"b"))</f>
        <v>3</v>
      </c>
      <c r="G41" t="s" s="2">
        <v>130</v>
      </c>
      <c r="H41" t="str" s="5">
        <v>P11974-1</v>
      </c>
      <c r="I41" t="s" s="2">
        <v>130</v>
      </c>
      <c r="J41" t="str" s="5">
        <v>P11974-1</v>
      </c>
      <c r="K41" s="7">
        <v>288</v>
      </c>
      <c r="L41" s="7">
        <v>266</v>
      </c>
      <c r="M41" s="6">
        <v>2617.441</v>
      </c>
      <c r="N41" s="6">
        <v>655.3680000000001</v>
      </c>
      <c r="O41" s="6">
        <v>4</v>
      </c>
      <c r="P41" s="6">
        <v>5.7</v>
      </c>
      <c r="Q41" s="6">
        <v>0.38</v>
      </c>
      <c r="R41" s="6">
        <v>0.57</v>
      </c>
      <c r="S41" s="8">
        <v>27.18</v>
      </c>
      <c r="T41" s="9">
        <v>6.6</v>
      </c>
      <c r="U41" t="s" s="2">
        <v>26</v>
      </c>
      <c r="V41" s="5"/>
      <c r="W41" s="5"/>
    </row>
    <row r="42" ht="13.55" customHeight="1">
      <c r="A42" s="6">
        <v>1</v>
      </c>
      <c r="B42" t="s" s="2">
        <v>132</v>
      </c>
      <c r="C42" t="str" s="5" cm="1">
        <f t="array" ref="C42">_xlfn.TEXTBEFORE(B42,"-")</f>
        <v>VFLAQKMIIGR</v>
      </c>
      <c r="D42" t="str" s="5" cm="1">
        <f t="array" ref="D42">_xlfn.TEXTBEFORE(_xlfn.TEXTAFTER(B42,"-"),"-")</f>
        <v>EAEAAMFHR</v>
      </c>
      <c r="E42" s="6" cm="1">
        <f t="array" ref="E42">VALUE(_xlfn.TEXTAFTER(_xlfn.TEXTBEFORE(_xlfn.TEXTAFTER(B42,"-",2),"-"),"a"))</f>
        <v>6</v>
      </c>
      <c r="F42" s="6" cm="1">
        <f t="array" ref="F42">VALUE(_xlfn.TEXTAFTER(_xlfn.TEXTAFTER(B42,"-",2),"b"))</f>
        <v>3</v>
      </c>
      <c r="G42" t="s" s="2">
        <v>130</v>
      </c>
      <c r="H42" t="str" s="5">
        <v>P11974-1</v>
      </c>
      <c r="I42" t="s" s="2">
        <v>135</v>
      </c>
      <c r="J42" t="str" s="5">
        <v>P11974-1</v>
      </c>
      <c r="K42" s="7">
        <v>311</v>
      </c>
      <c r="L42" s="7">
        <v>386</v>
      </c>
      <c r="M42" s="6">
        <v>2317.226</v>
      </c>
      <c r="N42" s="6">
        <v>464.453</v>
      </c>
      <c r="O42" s="6">
        <v>5</v>
      </c>
      <c r="P42" s="6">
        <v>3</v>
      </c>
      <c r="Q42" s="6">
        <v>0.4</v>
      </c>
      <c r="R42" s="6">
        <v>0.79</v>
      </c>
      <c r="S42" s="8">
        <v>24.47</v>
      </c>
      <c r="T42" s="9">
        <v>22</v>
      </c>
      <c r="U42" t="s" s="2">
        <v>26</v>
      </c>
      <c r="V42" s="5"/>
      <c r="W42" s="5"/>
    </row>
    <row r="43" ht="13.55" customHeight="1">
      <c r="A43" s="6">
        <v>1</v>
      </c>
      <c r="B43" t="s" s="2">
        <v>136</v>
      </c>
      <c r="C43" t="str" s="5" cm="1">
        <f t="array" ref="C43">_xlfn.TEXTBEFORE(B43,"-")</f>
        <v>LCALCAGDDQGLDK</v>
      </c>
      <c r="D43" t="str" s="5" cm="1">
        <f t="array" ref="D43">_xlfn.TEXTBEFORE(_xlfn.TEXTAFTER(B43,"-"),"-")</f>
        <v>EKYYGYTGAFR</v>
      </c>
      <c r="E43" s="6" cm="1">
        <f t="array" ref="E43">VALUE(_xlfn.TEXTAFTER(_xlfn.TEXTBEFORE(_xlfn.TEXTAFTER(B43,"-",2),"-"),"a"))</f>
        <v>9</v>
      </c>
      <c r="F43" s="6" cm="1">
        <f t="array" ref="F43">VALUE(_xlfn.TEXTAFTER(_xlfn.TEXTAFTER(B43,"-",2),"b"))</f>
        <v>2</v>
      </c>
      <c r="G43" t="s" s="2">
        <v>139</v>
      </c>
      <c r="H43" t="str" s="5">
        <v>P24627</v>
      </c>
      <c r="I43" t="s" s="2">
        <v>139</v>
      </c>
      <c r="J43" t="str" s="5">
        <v>P24627</v>
      </c>
      <c r="K43" s="7">
        <v>509</v>
      </c>
      <c r="L43" s="7">
        <v>522</v>
      </c>
      <c r="M43" s="6">
        <v>2870.318</v>
      </c>
      <c r="N43" s="6">
        <v>718.587</v>
      </c>
      <c r="O43" s="6">
        <v>4</v>
      </c>
      <c r="P43" s="6">
        <v>6.3</v>
      </c>
      <c r="Q43" s="6">
        <v>0.33</v>
      </c>
      <c r="R43" s="6">
        <v>0.66</v>
      </c>
      <c r="S43" s="8">
        <v>27.19</v>
      </c>
      <c r="T43" s="9">
        <v>8</v>
      </c>
      <c r="U43" t="s" s="2">
        <v>26</v>
      </c>
      <c r="V43" s="5"/>
      <c r="W43" s="5"/>
    </row>
    <row r="44" ht="13.55" customHeight="1">
      <c r="A44" s="6">
        <v>1</v>
      </c>
      <c r="B44" t="s" s="2">
        <v>141</v>
      </c>
      <c r="C44" t="str" s="5" cm="1">
        <f t="array" ref="C44">_xlfn.TEXTBEFORE(B44,"-")</f>
        <v>APVDAFKECHLAQVPSHAVVAR</v>
      </c>
      <c r="D44" t="str" s="5" cm="1">
        <f t="array" ref="D44">_xlfn.TEXTBEFORE(_xlfn.TEXTAFTER(B44,"-"),"-")</f>
        <v>ESPQTHYYAVAVVK</v>
      </c>
      <c r="E44" s="6" cm="1">
        <f t="array" ref="E44">VALUE(_xlfn.TEXTAFTER(_xlfn.TEXTBEFORE(_xlfn.TEXTAFTER(B44,"-",2),"-"),"a"))</f>
        <v>7</v>
      </c>
      <c r="F44" s="6" cm="1">
        <f t="array" ref="F44">VALUE(_xlfn.TEXTAFTER(_xlfn.TEXTAFTER(B44,"-",2),"b"))</f>
        <v>1</v>
      </c>
      <c r="G44" t="s" s="2">
        <v>139</v>
      </c>
      <c r="H44" t="str" s="5">
        <v>P24627</v>
      </c>
      <c r="I44" t="s" s="2">
        <v>139</v>
      </c>
      <c r="J44" t="str" s="5">
        <v>P24627</v>
      </c>
      <c r="K44" s="7">
        <v>243</v>
      </c>
      <c r="L44" s="7">
        <v>86</v>
      </c>
      <c r="M44" s="6">
        <v>3974.059</v>
      </c>
      <c r="N44" s="6">
        <v>994.523</v>
      </c>
      <c r="O44" s="6">
        <v>4</v>
      </c>
      <c r="P44" s="6">
        <v>8.199999999999999</v>
      </c>
      <c r="Q44" s="6">
        <v>0.26</v>
      </c>
      <c r="R44" s="6">
        <v>0.5</v>
      </c>
      <c r="S44" s="8">
        <v>22.96</v>
      </c>
      <c r="T44" s="9">
        <v>17.4</v>
      </c>
      <c r="U44" t="s" s="2">
        <v>26</v>
      </c>
      <c r="V44" s="5"/>
      <c r="W44" s="5"/>
    </row>
    <row r="45" ht="13.55" customHeight="1">
      <c r="A45" s="6">
        <v>1</v>
      </c>
      <c r="B45" t="s" s="2">
        <v>144</v>
      </c>
      <c r="C45" t="str" s="5" cm="1">
        <f t="array" ref="C45">_xlfn.TEXTBEFORE(B45,"-")</f>
        <v>CSTSPLLEACAFLTR</v>
      </c>
      <c r="D45" t="str" s="5" cm="1">
        <f t="array" ref="D45">_xlfn.TEXTBEFORE(_xlfn.TEXTAFTER(B45,"-"),"-")</f>
        <v>IPSKVDSALYLGSR</v>
      </c>
      <c r="E45" s="6" cm="1">
        <f t="array" ref="E45">VALUE(_xlfn.TEXTAFTER(_xlfn.TEXTBEFORE(_xlfn.TEXTAFTER(B45,"-",2),"-"),"a"))</f>
        <v>8</v>
      </c>
      <c r="F45" s="6" cm="1">
        <f t="array" ref="F45">VALUE(_xlfn.TEXTAFTER(_xlfn.TEXTAFTER(B45,"-",2),"b"))</f>
        <v>4</v>
      </c>
      <c r="G45" t="s" s="2">
        <v>139</v>
      </c>
      <c r="H45" t="str" s="5">
        <v>P24627</v>
      </c>
      <c r="I45" t="s" s="2">
        <v>139</v>
      </c>
      <c r="J45" t="str" s="5">
        <v>P24627</v>
      </c>
      <c r="K45" s="7">
        <v>682</v>
      </c>
      <c r="L45" s="7">
        <v>313</v>
      </c>
      <c r="M45" s="6">
        <v>3211.655</v>
      </c>
      <c r="N45" s="6">
        <v>1071.559</v>
      </c>
      <c r="O45" s="6">
        <v>3</v>
      </c>
      <c r="P45" s="6">
        <v>5.5</v>
      </c>
      <c r="Q45" s="6">
        <v>0.27</v>
      </c>
      <c r="R45" s="6">
        <v>0.72</v>
      </c>
      <c r="S45" s="8">
        <v>22.83</v>
      </c>
      <c r="T45" s="9">
        <v>7.9</v>
      </c>
      <c r="U45" t="s" s="2">
        <v>26</v>
      </c>
      <c r="V45" s="5"/>
      <c r="W45" s="5"/>
    </row>
    <row r="46" ht="13.55" customHeight="1">
      <c r="A46" s="6">
        <v>1</v>
      </c>
      <c r="B46" t="s" s="2">
        <v>147</v>
      </c>
      <c r="C46" t="str" s="5" cm="1">
        <f t="array" ref="C46">_xlfn.TEXTBEFORE(B46,"-")</f>
        <v>SETKNLLFNDNTECLAK</v>
      </c>
      <c r="D46" t="str" s="5" cm="1">
        <f t="array" ref="D46">_xlfn.TEXTBEFORE(_xlfn.TEXTAFTER(B46,"-"),"-")</f>
        <v>VVWCAVGPEEQK</v>
      </c>
      <c r="E46" s="6" cm="1">
        <f t="array" ref="E46">VALUE(_xlfn.TEXTAFTER(_xlfn.TEXTBEFORE(_xlfn.TEXTAFTER(B46,"-",2),"-"),"a"))</f>
        <v>4</v>
      </c>
      <c r="F46" s="6" cm="1">
        <f t="array" ref="F46">VALUE(_xlfn.TEXTAFTER(_xlfn.TEXTAFTER(B46,"-",2),"b"))</f>
        <v>9</v>
      </c>
      <c r="G46" t="s" s="2">
        <v>139</v>
      </c>
      <c r="H46" t="str" s="5">
        <v>P24627</v>
      </c>
      <c r="I46" t="s" s="2">
        <v>139</v>
      </c>
      <c r="J46" t="str" s="5">
        <v>P24627</v>
      </c>
      <c r="K46" s="7">
        <v>637</v>
      </c>
      <c r="L46" s="7">
        <v>353</v>
      </c>
      <c r="M46" s="6">
        <v>3378.65</v>
      </c>
      <c r="N46" s="6">
        <v>1127.225</v>
      </c>
      <c r="O46" s="6">
        <v>3</v>
      </c>
      <c r="P46" s="6">
        <v>8.300000000000001</v>
      </c>
      <c r="Q46" s="6">
        <v>0.39</v>
      </c>
      <c r="R46" s="6">
        <v>0.42</v>
      </c>
      <c r="S46" s="8">
        <v>21.5</v>
      </c>
      <c r="T46" s="9">
        <v>9</v>
      </c>
      <c r="U46" t="s" s="2">
        <v>26</v>
      </c>
      <c r="V46" s="15"/>
      <c r="W46" s="5"/>
    </row>
    <row r="47" ht="13.55" customHeight="1">
      <c r="A47" s="5"/>
      <c r="B47" t="s" s="2">
        <v>150</v>
      </c>
      <c r="C47" t="str" s="5" cm="1">
        <f t="array" ref="C47">_xlfn.TEXTBEFORE(B47,"-")</f>
        <v>SETKNLLFNDNTECLAK</v>
      </c>
      <c r="D47" t="str" s="5" cm="1">
        <f t="array" ref="D47">_xlfn.TEXTBEFORE(_xlfn.TEXTAFTER(B47,"-"),"-")</f>
        <v>VVWCAVGPEEQK</v>
      </c>
      <c r="E47" s="6" cm="1">
        <f t="array" ref="E47">VALUE(_xlfn.TEXTAFTER(_xlfn.TEXTBEFORE(_xlfn.TEXTAFTER(B47,"-",2),"-"),"a"))</f>
        <v>4</v>
      </c>
      <c r="F47" s="6" cm="1">
        <f t="array" ref="F47">VALUE(_xlfn.TEXTAFTER(_xlfn.TEXTAFTER(B47,"-",2),"b"))</f>
        <v>10</v>
      </c>
      <c r="G47" t="s" s="2">
        <v>139</v>
      </c>
      <c r="H47" t="str" s="5">
        <v>P24627</v>
      </c>
      <c r="I47" t="s" s="2">
        <v>139</v>
      </c>
      <c r="J47" t="str" s="5">
        <v>P24627</v>
      </c>
      <c r="K47" s="7">
        <v>637</v>
      </c>
      <c r="L47" s="7">
        <v>353</v>
      </c>
      <c r="M47" s="6">
        <v>3378.65</v>
      </c>
      <c r="N47" s="6">
        <v>1127.225</v>
      </c>
      <c r="O47" s="6">
        <v>3</v>
      </c>
      <c r="P47" s="6">
        <v>8.300000000000001</v>
      </c>
      <c r="Q47" s="6">
        <v>0.39</v>
      </c>
      <c r="R47" s="6">
        <v>0.42</v>
      </c>
      <c r="S47" s="8">
        <v>21.5</v>
      </c>
      <c r="T47" s="9">
        <v>9</v>
      </c>
      <c r="U47" t="s" s="2">
        <v>26</v>
      </c>
      <c r="V47" s="15"/>
      <c r="W47" s="5"/>
    </row>
    <row r="48" ht="13.55" customHeight="1">
      <c r="A48" s="6">
        <v>1</v>
      </c>
      <c r="B48" t="s" s="2">
        <v>151</v>
      </c>
      <c r="C48" t="str" s="5" cm="1">
        <f t="array" ref="C48">_xlfn.TEXTBEFORE(B48,"-")</f>
        <v>YLTTLKNLR</v>
      </c>
      <c r="D48" t="str" s="5" cm="1">
        <f t="array" ref="D48">_xlfn.TEXTBEFORE(_xlfn.TEXTAFTER(B48,"-"),"-")</f>
        <v>ETAEEVK</v>
      </c>
      <c r="E48" s="6" cm="1">
        <f t="array" ref="E48">VALUE(_xlfn.TEXTAFTER(_xlfn.TEXTBEFORE(_xlfn.TEXTAFTER(B48,"-",2),"-"),"a"))</f>
        <v>6</v>
      </c>
      <c r="F48" s="6" cm="1">
        <f t="array" ref="F48">VALUE(_xlfn.TEXTAFTER(_xlfn.TEXTAFTER(B48,"-",2),"b"))</f>
        <v>1</v>
      </c>
      <c r="G48" t="s" s="2">
        <v>139</v>
      </c>
      <c r="H48" t="str" s="5">
        <v>P24627</v>
      </c>
      <c r="I48" t="s" s="2">
        <v>139</v>
      </c>
      <c r="J48" t="str" s="5">
        <v>P24627</v>
      </c>
      <c r="K48" s="7">
        <v>329</v>
      </c>
      <c r="L48" s="7">
        <v>333</v>
      </c>
      <c r="M48" s="6">
        <v>1907.043</v>
      </c>
      <c r="N48" s="6">
        <v>477.769</v>
      </c>
      <c r="O48" s="6">
        <v>4</v>
      </c>
      <c r="P48" s="6">
        <v>3.4</v>
      </c>
      <c r="Q48" s="6">
        <v>0.29</v>
      </c>
      <c r="R48" s="6">
        <v>0.8100000000000001</v>
      </c>
      <c r="S48" s="8">
        <v>18.68</v>
      </c>
      <c r="T48" s="9">
        <v>6.5</v>
      </c>
      <c r="U48" t="s" s="2">
        <v>26</v>
      </c>
      <c r="V48" s="5"/>
      <c r="W48" s="5"/>
    </row>
    <row r="49" ht="13.55" customHeight="1">
      <c r="A49" s="6">
        <v>1</v>
      </c>
      <c r="B49" t="s" s="2">
        <v>154</v>
      </c>
      <c r="C49" t="str" s="5" cm="1">
        <f t="array" ref="C49">_xlfn.TEXTBEFORE(B49,"-")</f>
        <v>LGGRPTYEEYLGTEYVTAIANLK</v>
      </c>
      <c r="D49" t="str" s="5" cm="1">
        <f t="array" ref="D49">_xlfn.TEXTBEFORE(_xlfn.TEXTAFTER(B49,"-"),"-")</f>
        <v>KSCHTAVDR</v>
      </c>
      <c r="E49" s="6" cm="1">
        <f t="array" ref="E49">VALUE(_xlfn.TEXTAFTER(_xlfn.TEXTBEFORE(_xlfn.TEXTAFTER(B49,"-",2),"-"),"a"))</f>
        <v>14</v>
      </c>
      <c r="F49" s="6" cm="1">
        <f t="array" ref="F49">VALUE(_xlfn.TEXTAFTER(_xlfn.TEXTAFTER(B49,"-",2),"b"))</f>
        <v>1</v>
      </c>
      <c r="G49" t="s" s="2">
        <v>139</v>
      </c>
      <c r="H49" t="str" s="5">
        <v>P24627</v>
      </c>
      <c r="I49" t="s" s="2">
        <v>139</v>
      </c>
      <c r="J49" t="str" s="5">
        <v>P24627</v>
      </c>
      <c r="K49" s="7">
        <v>664</v>
      </c>
      <c r="L49" s="7">
        <v>455</v>
      </c>
      <c r="M49" s="6">
        <v>3611.83</v>
      </c>
      <c r="N49" s="6">
        <v>903.965</v>
      </c>
      <c r="O49" s="6">
        <v>4</v>
      </c>
      <c r="P49" s="6">
        <v>7.1</v>
      </c>
      <c r="Q49" s="6">
        <v>0.18</v>
      </c>
      <c r="R49" s="6">
        <v>0.67</v>
      </c>
      <c r="S49" s="8">
        <v>17.54</v>
      </c>
      <c r="T49" s="13">
        <v>28.6</v>
      </c>
      <c r="U49" t="s" s="2">
        <v>26</v>
      </c>
      <c r="V49" s="5"/>
      <c r="W49" s="5"/>
    </row>
    <row r="50" ht="13.55" customHeight="1">
      <c r="A50" s="6">
        <v>1</v>
      </c>
      <c r="B50" t="s" s="2">
        <v>157</v>
      </c>
      <c r="C50" t="str" s="5" cm="1">
        <f t="array" ref="C50">_xlfn.TEXTBEFORE(B50,"-")</f>
        <v>YLTTLKNLR</v>
      </c>
      <c r="D50" t="str" s="5" cm="1">
        <f t="array" ref="D50">_xlfn.TEXTBEFORE(_xlfn.TEXTAFTER(B50,"-"),"-")</f>
        <v>ETAEEVK</v>
      </c>
      <c r="E50" s="6" cm="1">
        <f t="array" ref="E50">VALUE(_xlfn.TEXTAFTER(_xlfn.TEXTBEFORE(_xlfn.TEXTAFTER(B50,"-",2),"-"),"a"))</f>
        <v>6</v>
      </c>
      <c r="F50" s="6" cm="1">
        <f t="array" ref="F50">VALUE(_xlfn.TEXTAFTER(_xlfn.TEXTAFTER(B50,"-",2),"b"))</f>
        <v>4</v>
      </c>
      <c r="G50" t="s" s="2">
        <v>139</v>
      </c>
      <c r="H50" t="str" s="5">
        <v>P24627</v>
      </c>
      <c r="I50" t="s" s="2">
        <v>139</v>
      </c>
      <c r="J50" t="str" s="5">
        <v>P24627</v>
      </c>
      <c r="K50" s="7">
        <v>329</v>
      </c>
      <c r="L50" s="7">
        <v>336</v>
      </c>
      <c r="M50" s="6">
        <v>1907.045</v>
      </c>
      <c r="N50" s="6">
        <v>636.6900000000001</v>
      </c>
      <c r="O50" s="6">
        <v>3</v>
      </c>
      <c r="P50" s="6">
        <v>4.7</v>
      </c>
      <c r="Q50" s="6">
        <v>0.13</v>
      </c>
      <c r="R50" s="6">
        <v>0.8100000000000001</v>
      </c>
      <c r="S50" s="8">
        <v>17.17</v>
      </c>
      <c r="T50" s="9">
        <v>13.3</v>
      </c>
      <c r="U50" t="s" s="2">
        <v>26</v>
      </c>
      <c r="V50" s="5"/>
      <c r="W50" s="5"/>
    </row>
    <row r="51" ht="13.55" customHeight="1">
      <c r="A51" s="6">
        <v>1</v>
      </c>
      <c r="B51" t="s" s="2">
        <v>158</v>
      </c>
      <c r="C51" t="str" s="5" cm="1">
        <f t="array" ref="C51">_xlfn.TEXTBEFORE(B51,"-")</f>
        <v>DDTKCLASIAK</v>
      </c>
      <c r="D51" t="str" s="5" cm="1">
        <f t="array" ref="D51">_xlfn.TEXTBEFORE(_xlfn.TEXTAFTER(B51,"-"),"-")</f>
        <v>TEGESCK</v>
      </c>
      <c r="E51" s="6" cm="1">
        <f t="array" ref="E51">VALUE(_xlfn.TEXTAFTER(_xlfn.TEXTBEFORE(_xlfn.TEXTAFTER(B51,"-",2),"-"),"a"))</f>
        <v>4</v>
      </c>
      <c r="F51" s="6" cm="1">
        <f t="array" ref="F51">VALUE(_xlfn.TEXTAFTER(_xlfn.TEXTAFTER(B51,"-",2),"b"))</f>
        <v>2</v>
      </c>
      <c r="G51" t="s" s="2">
        <v>161</v>
      </c>
      <c r="H51" t="str" s="5">
        <v>Q29443</v>
      </c>
      <c r="I51" t="s" s="2">
        <v>161</v>
      </c>
      <c r="J51" t="str" s="5">
        <v>Q29443</v>
      </c>
      <c r="K51" s="7">
        <v>662</v>
      </c>
      <c r="L51" s="7">
        <v>437</v>
      </c>
      <c r="M51" s="6">
        <v>2011.92</v>
      </c>
      <c r="N51" s="6">
        <v>503.988</v>
      </c>
      <c r="O51" s="6">
        <v>4</v>
      </c>
      <c r="P51" s="6">
        <v>0.5</v>
      </c>
      <c r="Q51" s="6">
        <v>0.44</v>
      </c>
      <c r="R51" s="6">
        <v>0.83</v>
      </c>
      <c r="S51" s="8">
        <v>27.87</v>
      </c>
      <c r="T51" t="s" s="4">
        <v>163</v>
      </c>
      <c r="U51" t="s" s="2">
        <v>26</v>
      </c>
      <c r="V51" s="5"/>
      <c r="W51" s="5"/>
    </row>
    <row r="52" ht="13.55" customHeight="1">
      <c r="A52" s="6">
        <v>1</v>
      </c>
      <c r="B52" t="s" s="2">
        <v>164</v>
      </c>
      <c r="C52" t="str" s="5" cm="1">
        <f t="array" ref="C52">_xlfn.TEXTBEFORE(B52,"-")</f>
        <v>NYELLCGDNTR</v>
      </c>
      <c r="D52" t="str" s="5" cm="1">
        <f t="array" ref="D52">_xlfn.TEXTBEFORE(_xlfn.TEXTAFTER(B52,"-"),"-")</f>
        <v>KDTDFK</v>
      </c>
      <c r="E52" s="6" cm="1">
        <f t="array" ref="E52">VALUE(_xlfn.TEXTAFTER(_xlfn.TEXTBEFORE(_xlfn.TEXTAFTER(B52,"-",2),"-"),"a"))</f>
        <v>3</v>
      </c>
      <c r="F52" s="6" cm="1">
        <f t="array" ref="F52">VALUE(_xlfn.TEXTAFTER(_xlfn.TEXTAFTER(B52,"-",2),"b"))</f>
        <v>1</v>
      </c>
      <c r="G52" t="s" s="2">
        <v>161</v>
      </c>
      <c r="H52" t="str" s="5">
        <v>Q29443</v>
      </c>
      <c r="I52" t="s" s="2">
        <v>161</v>
      </c>
      <c r="J52" t="str" s="5">
        <v>Q29443</v>
      </c>
      <c r="K52" s="7">
        <v>247</v>
      </c>
      <c r="L52" s="7">
        <v>121</v>
      </c>
      <c r="M52" s="6">
        <v>2087.966</v>
      </c>
      <c r="N52" s="6">
        <v>522.999</v>
      </c>
      <c r="O52" s="6">
        <v>4</v>
      </c>
      <c r="P52" s="6">
        <v>3.6</v>
      </c>
      <c r="Q52" s="6">
        <v>0.53</v>
      </c>
      <c r="R52" s="6">
        <v>0</v>
      </c>
      <c r="S52" s="8">
        <v>25.35</v>
      </c>
      <c r="T52" t="s" s="4">
        <v>163</v>
      </c>
      <c r="U52" t="s" s="2">
        <v>26</v>
      </c>
      <c r="V52" s="5"/>
      <c r="W52" s="5"/>
    </row>
    <row r="53" ht="13.55" customHeight="1">
      <c r="A53" s="6">
        <v>1</v>
      </c>
      <c r="B53" t="s" s="2">
        <v>167</v>
      </c>
      <c r="C53" t="str" s="5" cm="1">
        <f t="array" ref="C53">_xlfn.TEXTBEFORE(B53,"-")</f>
        <v>NYELLCGDNTRK</v>
      </c>
      <c r="D53" t="str" s="5" cm="1">
        <f t="array" ref="D53">_xlfn.TEXTBEFORE(_xlfn.TEXTAFTER(B53,"-"),"-")</f>
        <v>KDTDFK</v>
      </c>
      <c r="E53" s="6" cm="1">
        <f t="array" ref="E53">VALUE(_xlfn.TEXTAFTER(_xlfn.TEXTBEFORE(_xlfn.TEXTAFTER(B53,"-",2),"-"),"a"))</f>
        <v>3</v>
      </c>
      <c r="F53" s="6" cm="1">
        <f t="array" ref="F53">VALUE(_xlfn.TEXTAFTER(_xlfn.TEXTAFTER(B53,"-",2),"b"))</f>
        <v>1</v>
      </c>
      <c r="G53" t="s" s="2">
        <v>161</v>
      </c>
      <c r="H53" t="str" s="5">
        <v>Q29443</v>
      </c>
      <c r="I53" t="s" s="2">
        <v>161</v>
      </c>
      <c r="J53" t="str" s="5">
        <v>Q29443</v>
      </c>
      <c r="K53" s="7">
        <v>247</v>
      </c>
      <c r="L53" s="7">
        <v>121</v>
      </c>
      <c r="M53" s="6">
        <v>2216.057</v>
      </c>
      <c r="N53" s="6">
        <v>555.022</v>
      </c>
      <c r="O53" s="6">
        <v>4</v>
      </c>
      <c r="P53" s="6">
        <v>1.5</v>
      </c>
      <c r="Q53" s="6">
        <v>0.4</v>
      </c>
      <c r="R53" s="6">
        <v>0.83</v>
      </c>
      <c r="S53" s="8">
        <v>24.69</v>
      </c>
      <c r="T53" t="s" s="4">
        <v>163</v>
      </c>
      <c r="U53" t="s" s="2">
        <v>26</v>
      </c>
      <c r="V53" s="5"/>
      <c r="W53" s="5"/>
    </row>
    <row r="54" ht="13.55" customHeight="1">
      <c r="A54" s="6">
        <v>1</v>
      </c>
      <c r="B54" t="s" s="2">
        <v>169</v>
      </c>
      <c r="C54" t="str" s="5" cm="1">
        <f t="array" ref="C54">_xlfn.TEXTBEFORE(B54,"-")</f>
        <v>DLLFRDDTKCLASIAK</v>
      </c>
      <c r="D54" t="str" s="5" cm="1">
        <f t="array" ref="D54">_xlfn.TEXTBEFORE(_xlfn.TEXTAFTER(B54,"-"),"-")</f>
        <v>TEGESCK</v>
      </c>
      <c r="E54" s="6" cm="1">
        <f t="array" ref="E54">VALUE(_xlfn.TEXTAFTER(_xlfn.TEXTBEFORE(_xlfn.TEXTAFTER(B54,"-",2),"-"),"a"))</f>
        <v>9</v>
      </c>
      <c r="F54" s="6" cm="1">
        <f t="array" ref="F54">VALUE(_xlfn.TEXTAFTER(_xlfn.TEXTAFTER(B54,"-",2),"b"))</f>
        <v>2</v>
      </c>
      <c r="G54" t="s" s="2">
        <v>161</v>
      </c>
      <c r="H54" t="str" s="5">
        <v>Q29443</v>
      </c>
      <c r="I54" t="s" s="2">
        <v>161</v>
      </c>
      <c r="J54" t="str" s="5">
        <v>Q29443</v>
      </c>
      <c r="K54" s="7">
        <v>662</v>
      </c>
      <c r="L54" s="7">
        <v>437</v>
      </c>
      <c r="M54" s="6">
        <v>2656.302</v>
      </c>
      <c r="N54" s="6">
        <v>665.083</v>
      </c>
      <c r="O54" s="6">
        <v>4</v>
      </c>
      <c r="P54" s="6">
        <v>6.7</v>
      </c>
      <c r="Q54" s="6">
        <v>0.27</v>
      </c>
      <c r="R54" s="6">
        <v>0.74</v>
      </c>
      <c r="S54" s="8">
        <v>22.12</v>
      </c>
      <c r="T54" t="s" s="4">
        <v>163</v>
      </c>
      <c r="U54" t="s" s="2">
        <v>26</v>
      </c>
      <c r="V54" s="5"/>
      <c r="W54" s="5"/>
    </row>
    <row r="55" ht="13.55" customHeight="1">
      <c r="A55" s="6">
        <v>1</v>
      </c>
      <c r="B55" t="s" s="2">
        <v>171</v>
      </c>
      <c r="C55" t="str" s="5" cm="1">
        <f t="array" ref="C55">_xlfn.TEXTBEFORE(B55,"-")</f>
        <v>CLASIAKK</v>
      </c>
      <c r="D55" t="str" s="5" cm="1">
        <f t="array" ref="D55">_xlfn.TEXTBEFORE(_xlfn.TEXTAFTER(B55,"-"),"-")</f>
        <v>ATCVEK</v>
      </c>
      <c r="E55" s="6" cm="1">
        <f t="array" ref="E55">VALUE(_xlfn.TEXTAFTER(_xlfn.TEXTBEFORE(_xlfn.TEXTAFTER(B55,"-",2),"-"),"a"))</f>
        <v>7</v>
      </c>
      <c r="F55" s="6" cm="1">
        <f t="array" ref="F55">VALUE(_xlfn.TEXTAFTER(_xlfn.TEXTAFTER(B55,"-",2),"b"))</f>
        <v>5</v>
      </c>
      <c r="G55" t="s" s="2">
        <v>161</v>
      </c>
      <c r="H55" t="str" s="5">
        <v>Q29443</v>
      </c>
      <c r="I55" t="s" s="2">
        <v>161</v>
      </c>
      <c r="J55" t="str" s="5">
        <v>Q29443</v>
      </c>
      <c r="K55" s="7">
        <v>669</v>
      </c>
      <c r="L55" s="16">
        <v>624</v>
      </c>
      <c r="M55" s="6">
        <v>1577.835</v>
      </c>
      <c r="N55" s="6">
        <v>395.467</v>
      </c>
      <c r="O55" s="6">
        <v>4</v>
      </c>
      <c r="P55" s="6">
        <v>5.4</v>
      </c>
      <c r="Q55" s="6">
        <v>0.17</v>
      </c>
      <c r="R55" s="6">
        <v>0.89</v>
      </c>
      <c r="S55" s="8">
        <v>21.53</v>
      </c>
      <c r="T55" t="s" s="4">
        <v>163</v>
      </c>
      <c r="U55" t="s" s="2">
        <v>26</v>
      </c>
      <c r="V55" s="5"/>
      <c r="W55" s="5"/>
    </row>
    <row r="56" ht="13.55" customHeight="1">
      <c r="A56" s="6">
        <v>1</v>
      </c>
      <c r="B56" t="s" s="2">
        <v>174</v>
      </c>
      <c r="C56" t="str" s="5" cm="1">
        <f t="array" ref="C56">_xlfn.TEXTBEFORE(B56,"-")</f>
        <v>KSCHTAVDR</v>
      </c>
      <c r="D56" t="str" s="5" cm="1">
        <f t="array" ref="D56">_xlfn.TEXTBEFORE(_xlfn.TEXTAFTER(B56,"-"),"-")</f>
        <v>GDVAFVK</v>
      </c>
      <c r="E56" s="6" cm="1">
        <f t="array" ref="E56">VALUE(_xlfn.TEXTAFTER(_xlfn.TEXTBEFORE(_xlfn.TEXTAFTER(B56,"-",2),"-"),"a"))</f>
        <v>1</v>
      </c>
      <c r="F56" s="6" cm="1">
        <f t="array" ref="F56">VALUE(_xlfn.TEXTAFTER(_xlfn.TEXTAFTER(B56,"-",2),"b"))</f>
        <v>2</v>
      </c>
      <c r="G56" t="s" s="2">
        <v>161</v>
      </c>
      <c r="H56" t="str" s="5">
        <v>Q29443</v>
      </c>
      <c r="I56" t="s" s="2">
        <v>161</v>
      </c>
      <c r="J56" t="str" s="5">
        <v>Q29443</v>
      </c>
      <c r="K56" s="17">
        <v>471</v>
      </c>
      <c r="L56" t="s" s="18">
        <v>175</v>
      </c>
      <c r="M56" s="19">
        <v>1788.898</v>
      </c>
      <c r="N56" s="6">
        <v>448.232</v>
      </c>
      <c r="O56" s="6">
        <v>4</v>
      </c>
      <c r="P56" s="6">
        <v>2.2</v>
      </c>
      <c r="Q56" s="6">
        <v>0.27</v>
      </c>
      <c r="R56" s="6">
        <v>0</v>
      </c>
      <c r="S56" s="8">
        <v>19.26</v>
      </c>
      <c r="T56" t="s" s="4">
        <v>163</v>
      </c>
      <c r="U56" t="s" s="2">
        <v>26</v>
      </c>
      <c r="V56" s="5"/>
      <c r="W56" s="5"/>
    </row>
    <row r="57" ht="13.55" customHeight="1">
      <c r="A57" s="6">
        <v>1</v>
      </c>
      <c r="B57" t="s" s="2">
        <v>176</v>
      </c>
      <c r="C57" t="str" s="5" cm="1">
        <f t="array" ref="C57">_xlfn.TEXTBEFORE(B57,"-")</f>
        <v>NTPEKGYLAVAVVK</v>
      </c>
      <c r="D57" t="str" s="5" cm="1">
        <f t="array" ref="D57">_xlfn.TEXTBEFORE(_xlfn.TEXTAFTER(B57,"-"),"-")</f>
        <v>KPVTDAENCHLAR</v>
      </c>
      <c r="E57" s="6" cm="1">
        <f t="array" ref="E57">VALUE(_xlfn.TEXTAFTER(_xlfn.TEXTBEFORE(_xlfn.TEXTAFTER(B57,"-",2),"-"),"a"))</f>
        <v>5</v>
      </c>
      <c r="F57" s="6" cm="1">
        <f t="array" ref="F57">VALUE(_xlfn.TEXTAFTER(_xlfn.TEXTAFTER(B57,"-",2),"b"))</f>
        <v>7</v>
      </c>
      <c r="G57" t="s" s="2">
        <v>161</v>
      </c>
      <c r="H57" t="str" s="5">
        <v>Q29443</v>
      </c>
      <c r="I57" t="s" s="2">
        <v>161</v>
      </c>
      <c r="J57" t="str" s="5">
        <v>Q29443</v>
      </c>
      <c r="K57" s="7">
        <v>447</v>
      </c>
      <c r="L57" s="20">
        <v>601</v>
      </c>
      <c r="M57" s="6">
        <v>2979.573</v>
      </c>
      <c r="N57" s="6">
        <v>745.901</v>
      </c>
      <c r="O57" s="6">
        <v>4</v>
      </c>
      <c r="P57" s="6">
        <v>4.3</v>
      </c>
      <c r="Q57" s="6">
        <v>0.2</v>
      </c>
      <c r="R57" s="6">
        <v>0.64</v>
      </c>
      <c r="S57" s="8">
        <v>17.41</v>
      </c>
      <c r="T57" t="s" s="4">
        <v>163</v>
      </c>
      <c r="U57" t="s" s="2">
        <v>26</v>
      </c>
      <c r="V57" s="5"/>
      <c r="W57" s="5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